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花名册" sheetId="3" r:id="rId1"/>
    <sheet name="工资表" sheetId="1" r:id="rId2"/>
    <sheet name="考勤表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<sst xmlns="http://schemas.openxmlformats.org/spreadsheetml/2006/main" count="378" uniqueCount="247">
  <si>
    <t xml:space="preserve"> 农民工花名册</t>
  </si>
  <si>
    <t>编制单位：</t>
  </si>
  <si>
    <t>序号</t>
  </si>
  <si>
    <t>姓名</t>
  </si>
  <si>
    <t>性别</t>
  </si>
  <si>
    <t>民族</t>
  </si>
  <si>
    <t>籍贯</t>
  </si>
  <si>
    <t>身份证号码</t>
  </si>
  <si>
    <t>工资卡号</t>
  </si>
  <si>
    <t>开户行</t>
  </si>
  <si>
    <t>工种</t>
  </si>
  <si>
    <t>上场时间</t>
  </si>
  <si>
    <t>撤场时间</t>
  </si>
  <si>
    <t>联系电话</t>
  </si>
  <si>
    <t>备注</t>
  </si>
  <si>
    <t>陈罗宏</t>
  </si>
  <si>
    <t>男</t>
  </si>
  <si>
    <t>汉</t>
  </si>
  <si>
    <t>湖南省华容县梅田湖</t>
  </si>
  <si>
    <t>430623197201192213</t>
  </si>
  <si>
    <t>6236683520010069982</t>
  </si>
  <si>
    <t>三亚建设支行</t>
  </si>
  <si>
    <t>砌砖</t>
  </si>
  <si>
    <t>邓金香</t>
  </si>
  <si>
    <t>女</t>
  </si>
  <si>
    <t>422423197312231528</t>
  </si>
  <si>
    <t>6217003520008554279</t>
  </si>
  <si>
    <t>三亚建没支行</t>
  </si>
  <si>
    <t>陈国红</t>
  </si>
  <si>
    <t>430623196810132211</t>
  </si>
  <si>
    <t>6217003520017024231</t>
  </si>
  <si>
    <t>李治安</t>
  </si>
  <si>
    <t>湖南省常德市澧县</t>
  </si>
  <si>
    <t>430723198309292814</t>
  </si>
  <si>
    <t>6217003520007698432</t>
  </si>
  <si>
    <t>海南三亚迎宾支行</t>
  </si>
  <si>
    <t>胡艳</t>
  </si>
  <si>
    <t>湖南省常德市临澧县</t>
  </si>
  <si>
    <t>43072419880818542X</t>
  </si>
  <si>
    <t>6217003520007698424</t>
  </si>
  <si>
    <t>阳梦姣</t>
  </si>
  <si>
    <t>湖南省湘西州花垣县</t>
  </si>
  <si>
    <t>43312419920815582X</t>
  </si>
  <si>
    <t>6236683000004290621</t>
  </si>
  <si>
    <t>湖南澧县建设支行</t>
  </si>
  <si>
    <t>张孝庆</t>
  </si>
  <si>
    <t>湖南省常德市桃源县</t>
  </si>
  <si>
    <t>432427197411043538</t>
  </si>
  <si>
    <t>6217003520012305239</t>
  </si>
  <si>
    <t>三亚河西支行</t>
  </si>
  <si>
    <t>龚德权</t>
  </si>
  <si>
    <t>土家</t>
  </si>
  <si>
    <t>湖南省常德市石门县</t>
  </si>
  <si>
    <t>430726197911133511</t>
  </si>
  <si>
    <t>6236683520010371685</t>
  </si>
  <si>
    <t>定安支行</t>
  </si>
  <si>
    <t>曹承文</t>
  </si>
  <si>
    <t>430723196810182214</t>
  </si>
  <si>
    <t>6236683520006371400</t>
  </si>
  <si>
    <t>曹阳</t>
  </si>
  <si>
    <t>430723199010272215</t>
  </si>
  <si>
    <t>6215340303001126239</t>
  </si>
  <si>
    <t>五指山建设支行</t>
  </si>
  <si>
    <t>陈克兰</t>
  </si>
  <si>
    <t>430723196912085044</t>
  </si>
  <si>
    <t>6236683000002012316</t>
  </si>
  <si>
    <t>澧县建设支行</t>
  </si>
  <si>
    <t>黄道文</t>
  </si>
  <si>
    <t>432424196810235015</t>
  </si>
  <si>
    <t>6215340303714770687</t>
  </si>
  <si>
    <t>雷义元</t>
  </si>
  <si>
    <t>湖北省宜昌市兴山县</t>
  </si>
  <si>
    <t>422423197103216014</t>
  </si>
  <si>
    <t>6217003520014539751</t>
  </si>
  <si>
    <t>海口丽晶支行</t>
  </si>
  <si>
    <t>杨松艳</t>
  </si>
  <si>
    <t>422423197207286025</t>
  </si>
  <si>
    <t>6217003520008219071</t>
  </si>
  <si>
    <t>洋浦支行</t>
  </si>
  <si>
    <t>杨荣友</t>
  </si>
  <si>
    <t>湖北省荆州市公安县</t>
  </si>
  <si>
    <t>42102219690221365X</t>
  </si>
  <si>
    <t>6217003520004643027</t>
  </si>
  <si>
    <t>谢玉莲</t>
  </si>
  <si>
    <t>42102219701011364X</t>
  </si>
  <si>
    <t>6236683520005555110</t>
  </si>
  <si>
    <t>三亚月川支行</t>
  </si>
  <si>
    <t>梁吉春</t>
  </si>
  <si>
    <t>重庆市（原万县地区）</t>
  </si>
  <si>
    <t>512227196808039099</t>
  </si>
  <si>
    <t>6217003520024871509</t>
  </si>
  <si>
    <t>陵水支行</t>
  </si>
  <si>
    <t>甘亮达</t>
  </si>
  <si>
    <t>湖南省岳阳市汨罗市</t>
  </si>
  <si>
    <t>430681197709283259</t>
  </si>
  <si>
    <t>6236683520008567567</t>
  </si>
  <si>
    <t>中国建设银行东方支行</t>
  </si>
  <si>
    <t>熊伟</t>
  </si>
  <si>
    <t>430723199008092215</t>
  </si>
  <si>
    <t>6215340303728756862</t>
  </si>
  <si>
    <t>罗妹香</t>
  </si>
  <si>
    <t>海南省陵水黎族自治县</t>
  </si>
  <si>
    <t>46003419860807504X</t>
  </si>
  <si>
    <t>6236683520005046359</t>
  </si>
  <si>
    <t>建设陵水支行</t>
  </si>
  <si>
    <t>曾元清</t>
  </si>
  <si>
    <t>432424197210242232</t>
  </si>
  <si>
    <t>6230943520000131221</t>
  </si>
  <si>
    <t>陵水县清水湾支行</t>
  </si>
  <si>
    <t>15009064409</t>
  </si>
  <si>
    <t>向兵</t>
  </si>
  <si>
    <t>贵州省铜仁地区思南县</t>
  </si>
  <si>
    <t>52222519861025041X</t>
  </si>
  <si>
    <t>6236687180000839054</t>
  </si>
  <si>
    <t>铜仁市南长城支行</t>
  </si>
  <si>
    <t>曾辉</t>
  </si>
  <si>
    <t>430723200702170012</t>
  </si>
  <si>
    <t>6217003520024505156</t>
  </si>
  <si>
    <t>熊延支</t>
  </si>
  <si>
    <t>432424197107092221</t>
  </si>
  <si>
    <t>6230943520000131213</t>
  </si>
  <si>
    <t>清水湾支行</t>
  </si>
  <si>
    <t>王希文</t>
  </si>
  <si>
    <t>云南省曲靖市罗平县</t>
  </si>
  <si>
    <t>530324197908221915</t>
  </si>
  <si>
    <t>6217001820047561752</t>
  </si>
  <si>
    <t>长乐市漳港支行</t>
  </si>
  <si>
    <t>黄汝桃</t>
  </si>
  <si>
    <t>530324197602141728</t>
  </si>
  <si>
    <t>6217001830049502860</t>
  </si>
  <si>
    <t>泉州市石狮支行</t>
  </si>
  <si>
    <t>黄乔昌</t>
  </si>
  <si>
    <t>530324198007241710</t>
  </si>
  <si>
    <t>6217003520024506337</t>
  </si>
  <si>
    <t>刘巧芬</t>
  </si>
  <si>
    <t>530324198505061747</t>
  </si>
  <si>
    <t>6217003520024505628</t>
  </si>
  <si>
    <t>陈云山</t>
  </si>
  <si>
    <t>河南省新乡市新乡县</t>
  </si>
  <si>
    <t>410721198404053575</t>
  </si>
  <si>
    <t>6217003520011446711</t>
  </si>
  <si>
    <t>临城镇建设支行</t>
  </si>
  <si>
    <t>陈升英</t>
  </si>
  <si>
    <t>广东省湛江市廉江市</t>
  </si>
  <si>
    <t>440822197803052724</t>
  </si>
  <si>
    <t>6217003520024869552</t>
  </si>
  <si>
    <t>陵水建设支行</t>
  </si>
  <si>
    <t>张武平</t>
  </si>
  <si>
    <t>四川省达州市宣汉县</t>
  </si>
  <si>
    <t>513022196609073719</t>
  </si>
  <si>
    <t>6217002120018527885</t>
  </si>
  <si>
    <t>赣州振兴支行</t>
  </si>
  <si>
    <t>杨国春</t>
  </si>
  <si>
    <t>513022199505142971</t>
  </si>
  <si>
    <t>6217003690008319567</t>
  </si>
  <si>
    <t>达州市南外支行</t>
  </si>
  <si>
    <t>李奎</t>
  </si>
  <si>
    <t>530324199110231953</t>
  </si>
  <si>
    <t>6217003890012665126</t>
  </si>
  <si>
    <t>曲靖市支行</t>
  </si>
  <si>
    <t>符桥</t>
  </si>
  <si>
    <t>四川省达州市达川区</t>
  </si>
  <si>
    <t>513021198010058574</t>
  </si>
  <si>
    <t>6217003520010533931</t>
  </si>
  <si>
    <t>儋州建设支行</t>
  </si>
  <si>
    <t>胡建中</t>
  </si>
  <si>
    <t>云南省德宏州梁河县</t>
  </si>
  <si>
    <t>533022199207222010</t>
  </si>
  <si>
    <t>6217003960005686163</t>
  </si>
  <si>
    <t>昌宁建设支行</t>
  </si>
  <si>
    <t>段从怀</t>
  </si>
  <si>
    <t>云南省保山市</t>
  </si>
  <si>
    <t>53300120011201276X</t>
  </si>
  <si>
    <t>6236683520010239338</t>
  </si>
  <si>
    <t>三亚凤凰支行</t>
  </si>
  <si>
    <t>蒋忠强</t>
  </si>
  <si>
    <t>500237198703148959</t>
  </si>
  <si>
    <t>6217003760179342761</t>
  </si>
  <si>
    <t>重庆渝兆支行</t>
  </si>
  <si>
    <t>赵丹</t>
  </si>
  <si>
    <t>430723199006102221</t>
  </si>
  <si>
    <t>6217003520023580325</t>
  </si>
  <si>
    <t>三亚荔枝沟支行</t>
  </si>
  <si>
    <t>孙桂芳</t>
  </si>
  <si>
    <t>四川省宣汉县天生镇马蹄村5组99号</t>
  </si>
  <si>
    <t>513022199308153006</t>
  </si>
  <si>
    <t>6236683520009198255</t>
  </si>
  <si>
    <t>海南省乐东黎族自治县乐东之行</t>
  </si>
  <si>
    <t>18381843950</t>
  </si>
  <si>
    <t>李灿</t>
  </si>
  <si>
    <t>湖北省公安县藕池镇积玉村一组</t>
  </si>
  <si>
    <t>421022200012090626</t>
  </si>
  <si>
    <t>6236683520010906977</t>
  </si>
  <si>
    <t>15927959801</t>
  </si>
  <si>
    <t>许三香</t>
  </si>
  <si>
    <t>湖北省公安县黄山头镇北宫中学院内</t>
  </si>
  <si>
    <t>421022197511201605</t>
  </si>
  <si>
    <t>6236683520010907165</t>
  </si>
  <si>
    <t>17364257662</t>
  </si>
  <si>
    <t>谢志朋</t>
  </si>
  <si>
    <t>湖南省益阳市赫山区泉交河镇枫树坝村响堂山村民
组</t>
  </si>
  <si>
    <t>432321197401232139</t>
  </si>
  <si>
    <t>6217002920138111936</t>
  </si>
  <si>
    <t>益阳桃花仑建设支行</t>
  </si>
  <si>
    <t>13467872097</t>
  </si>
  <si>
    <t>蔡良其</t>
  </si>
  <si>
    <t>湖南省安乡县三岔河镇枞住址杨树村2组022号</t>
  </si>
  <si>
    <t>430721197208114616</t>
  </si>
  <si>
    <t>6215340303723694555</t>
  </si>
  <si>
    <t>安乡建设支行</t>
  </si>
  <si>
    <t>18890737388</t>
  </si>
  <si>
    <t>王国洪</t>
  </si>
  <si>
    <t>湖北省监利市汴河镇到口村8-01号</t>
  </si>
  <si>
    <t>421023197008044151</t>
  </si>
  <si>
    <t>6217003520023617952</t>
  </si>
  <si>
    <t>万宁建设支行</t>
  </si>
  <si>
    <t>13437222112</t>
  </si>
  <si>
    <t>胡家波</t>
  </si>
  <si>
    <t>湖北省孝感市孝南区尚港
镇叶万村八组</t>
  </si>
  <si>
    <t>420902198010135942</t>
  </si>
  <si>
    <t>6236683520007006864</t>
  </si>
  <si>
    <t>18572122155</t>
  </si>
  <si>
    <t>黄小冬</t>
  </si>
  <si>
    <t>湖南省澧县城头山镇群乐住址
村17组</t>
  </si>
  <si>
    <t>432424196810111813</t>
  </si>
  <si>
    <t>6215340303000160692</t>
  </si>
  <si>
    <t>拿大建设支行</t>
  </si>
  <si>
    <t>19392001876</t>
  </si>
  <si>
    <t>谭勇</t>
  </si>
  <si>
    <t>湖南省澧县澧西街道澄坪社区3组</t>
  </si>
  <si>
    <t>430723198608010071</t>
  </si>
  <si>
    <t>6217003520024351569</t>
  </si>
  <si>
    <t>16689735058</t>
  </si>
  <si>
    <t>工资表</t>
  </si>
  <si>
    <t xml:space="preserve">编制单位名称：                                                                       </t>
  </si>
  <si>
    <t>身份证号</t>
  </si>
  <si>
    <t>银行卡号</t>
  </si>
  <si>
    <t>账户银行</t>
  </si>
  <si>
    <t>出勤
天数</t>
  </si>
  <si>
    <t>工资标准</t>
  </si>
  <si>
    <t>应发工资</t>
  </si>
  <si>
    <t>应扣减金额</t>
  </si>
  <si>
    <t>实发
金额</t>
  </si>
  <si>
    <t>领款人签字</t>
  </si>
  <si>
    <t xml:space="preserve"> </t>
  </si>
  <si>
    <t>合计</t>
  </si>
  <si>
    <t>农民工考勤表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</si>
</sst>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&quot;年&quot;m&quot;月&quot;d&quot;日&quot;;@"/>
  </numFmts>
  <fonts count="4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宋体"/>
      <charset val="134"/>
    </font>
    <font>
      <sz val="18"/>
      <color rgb="FF000000"/>
      <name val="宋体"/>
      <charset val="134"/>
    </font>
    <font>
      <sz val="18"/>
      <name val="宋体"/>
      <charset val="134"/>
    </font>
    <font>
      <sz val="14"/>
      <color theme="1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2"/>
      <color rgb="FF000000"/>
      <name val="宋体"/>
      <charset val="134"/>
    </font>
    <font>
      <sz val="11"/>
      <color rgb="FF0F1115"/>
      <name val="微软雅黑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rgb="FF0F1115"/>
      <name val="Segoe UI"/>
      <charset val="134"/>
    </font>
    <font>
      <sz val="11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18" applyNumberFormat="0" applyAlignment="0" applyProtection="0">
      <alignment vertical="center"/>
    </xf>
    <xf numFmtId="0" fontId="30" fillId="6" borderId="19" applyNumberFormat="0" applyAlignment="0" applyProtection="0">
      <alignment vertical="center"/>
    </xf>
    <xf numFmtId="0" fontId="31" fillId="6" borderId="18" applyNumberFormat="0" applyAlignment="0" applyProtection="0">
      <alignment vertical="center"/>
    </xf>
    <xf numFmtId="0" fontId="32" fillId="7" borderId="20" applyNumberFormat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57" fontId="3" fillId="0" borderId="1" xfId="0" applyNumberFormat="1" applyFont="1" applyBorder="1" applyAlignment="1">
      <alignment horizontal="center" vertical="center"/>
    </xf>
    <xf numFmtId="57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 indent="1"/>
    </xf>
    <xf numFmtId="0" fontId="4" fillId="0" borderId="9" xfId="0" applyFont="1" applyBorder="1" applyAlignment="1">
      <alignment horizontal="right" vertical="center" indent="1"/>
    </xf>
    <xf numFmtId="0" fontId="4" fillId="0" borderId="10" xfId="0" applyFont="1" applyBorder="1" applyAlignment="1">
      <alignment horizontal="right" vertical="center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3" fillId="0" borderId="12" xfId="0" applyFont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57" fontId="1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49" fontId="0" fillId="0" borderId="14" xfId="0" applyNumberFormat="1" applyBorder="1" applyAlignment="1" quotePrefix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  <xf numFmtId="49" fontId="3" fillId="0" borderId="2" xfId="0" applyNumberFormat="1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opLeftCell="A36" workbookViewId="0">
      <selection activeCell="H48" sqref="H48"/>
    </sheetView>
  </sheetViews>
  <sheetFormatPr defaultColWidth="9" defaultRowHeight="24" customHeight="1"/>
  <cols>
    <col min="1" max="1" width="5.375" style="42" customWidth="1"/>
    <col min="2" max="2" width="9" style="42"/>
    <col min="3" max="3" width="7.75" style="42" customWidth="1"/>
    <col min="4" max="4" width="6.875" style="42" customWidth="1"/>
    <col min="5" max="5" width="31.375" style="43" customWidth="1"/>
    <col min="6" max="6" width="21.75" style="42" customWidth="1"/>
    <col min="7" max="7" width="22" style="42" customWidth="1"/>
    <col min="8" max="8" width="37.5" style="43" customWidth="1"/>
    <col min="9" max="9" width="9" style="42" customWidth="1"/>
    <col min="10" max="10" width="13.5" style="42" customWidth="1"/>
    <col min="11" max="11" width="13.375" style="42" customWidth="1"/>
    <col min="12" max="12" width="13.125" style="42" customWidth="1"/>
    <col min="13" max="13" width="9" style="42" customWidth="1"/>
    <col min="14" max="16384" width="9" style="42"/>
  </cols>
  <sheetData>
    <row r="1" customHeight="1" spans="1:13">
      <c r="A1" s="44" t="s">
        <v>0</v>
      </c>
      <c r="B1" s="44"/>
      <c r="C1" s="44"/>
      <c r="D1" s="44"/>
      <c r="E1" s="45"/>
      <c r="F1" s="44"/>
      <c r="G1" s="44"/>
      <c r="H1" s="45"/>
      <c r="I1" s="44"/>
      <c r="J1" s="44"/>
      <c r="K1" s="46"/>
      <c r="L1" s="44"/>
      <c r="M1" s="47"/>
    </row>
    <row r="2" ht="11.1" customHeight="1" spans="1:13">
      <c r="A2" s="44"/>
      <c r="B2" s="44"/>
      <c r="C2" s="44"/>
      <c r="D2" s="44"/>
      <c r="E2" s="45"/>
      <c r="F2" s="44"/>
      <c r="G2" s="44"/>
      <c r="H2" s="45"/>
      <c r="I2" s="44"/>
      <c r="J2" s="44"/>
      <c r="K2" s="46"/>
      <c r="L2" s="44"/>
      <c r="M2" s="47"/>
    </row>
    <row r="3" customHeight="1" spans="1:13">
      <c r="A3" s="3" t="s">
        <v>1</v>
      </c>
      <c r="B3" s="3"/>
      <c r="C3" s="3"/>
      <c r="D3" s="3"/>
      <c r="E3" s="3"/>
      <c r="F3" s="48">
        <v>45870</v>
      </c>
      <c r="G3" s="49"/>
      <c r="H3" s="45"/>
      <c r="I3" s="31"/>
      <c r="J3" s="50"/>
      <c r="K3" s="51"/>
      <c r="L3" s="49"/>
      <c r="M3" s="52"/>
    </row>
    <row r="4" customHeight="1" spans="1:13">
      <c r="A4" s="6" t="s">
        <v>2</v>
      </c>
      <c r="B4" s="6" t="s">
        <v>3</v>
      </c>
      <c r="C4" s="6" t="s">
        <v>4</v>
      </c>
      <c r="D4" s="6" t="s">
        <v>5</v>
      </c>
      <c r="E4" s="45" t="s">
        <v>6</v>
      </c>
      <c r="F4" s="6" t="s">
        <v>7</v>
      </c>
      <c r="G4" s="6" t="s">
        <v>8</v>
      </c>
      <c r="H4" s="45" t="s">
        <v>9</v>
      </c>
      <c r="I4" s="31" t="s">
        <v>10</v>
      </c>
      <c r="J4" s="6" t="s">
        <v>11</v>
      </c>
      <c r="K4" s="53" t="s">
        <v>12</v>
      </c>
      <c r="L4" s="6" t="s">
        <v>13</v>
      </c>
      <c r="M4" s="6" t="s">
        <v>14</v>
      </c>
    </row>
    <row r="5" customHeight="1" spans="1:13">
      <c r="A5" s="54">
        <v>1</v>
      </c>
      <c r="B5" s="23" t="s">
        <v>15</v>
      </c>
      <c r="C5" s="55" t="s">
        <v>16</v>
      </c>
      <c r="D5" s="56" t="s">
        <v>17</v>
      </c>
      <c r="E5" s="57" t="s">
        <v>18</v>
      </c>
      <c r="F5" s="24" t="s">
        <v>19</v>
      </c>
      <c r="G5" s="24" t="s">
        <v>20</v>
      </c>
      <c r="H5" s="23" t="s">
        <v>21</v>
      </c>
      <c r="I5" s="56" t="s">
        <v>22</v>
      </c>
      <c r="J5" s="58"/>
      <c r="K5" s="58"/>
      <c r="L5" s="59">
        <v>18689852329</v>
      </c>
      <c r="M5" s="58"/>
    </row>
    <row r="6" customHeight="1" spans="1:13">
      <c r="A6" s="54">
        <v>2</v>
      </c>
      <c r="B6" s="23" t="s">
        <v>23</v>
      </c>
      <c r="C6" s="55" t="s">
        <v>24</v>
      </c>
      <c r="D6" s="56" t="s">
        <v>17</v>
      </c>
      <c r="E6" s="57" t="s">
        <v>18</v>
      </c>
      <c r="F6" s="24" t="s">
        <v>25</v>
      </c>
      <c r="G6" s="24" t="s">
        <v>26</v>
      </c>
      <c r="H6" s="23" t="s">
        <v>27</v>
      </c>
      <c r="I6" s="56" t="s">
        <v>22</v>
      </c>
      <c r="J6" s="58"/>
      <c r="K6" s="58"/>
      <c r="L6" s="59">
        <v>18289568949</v>
      </c>
      <c r="M6" s="58"/>
    </row>
    <row r="7" customHeight="1" spans="1:13">
      <c r="A7" s="54">
        <v>3</v>
      </c>
      <c r="B7" s="23" t="s">
        <v>28</v>
      </c>
      <c r="C7" s="55" t="s">
        <v>16</v>
      </c>
      <c r="D7" s="56" t="s">
        <v>17</v>
      </c>
      <c r="E7" s="57" t="s">
        <v>18</v>
      </c>
      <c r="F7" s="24" t="s">
        <v>29</v>
      </c>
      <c r="G7" s="24" t="s">
        <v>30</v>
      </c>
      <c r="H7" s="23" t="s">
        <v>21</v>
      </c>
      <c r="I7" s="56" t="s">
        <v>22</v>
      </c>
      <c r="J7" s="58"/>
      <c r="K7" s="58"/>
      <c r="L7" s="59">
        <v>13138900510</v>
      </c>
      <c r="M7" s="58"/>
    </row>
    <row r="8" customHeight="1" spans="1:13">
      <c r="A8" s="54">
        <v>4</v>
      </c>
      <c r="B8" s="23" t="s">
        <v>31</v>
      </c>
      <c r="C8" s="60" t="str">
        <f>IF(MOD(MID(F8,17,1),2)=1,"男","女")</f>
        <v>男</v>
      </c>
      <c r="D8" s="56" t="s">
        <v>17</v>
      </c>
      <c r="E8" s="61" t="s">
        <v>32</v>
      </c>
      <c r="F8" s="24" t="s">
        <v>33</v>
      </c>
      <c r="G8" s="24" t="s">
        <v>34</v>
      </c>
      <c r="H8" s="23" t="s">
        <v>35</v>
      </c>
      <c r="I8" s="56" t="s">
        <v>22</v>
      </c>
      <c r="J8" s="62"/>
      <c r="K8" s="54"/>
      <c r="L8" s="63">
        <v>18569133960</v>
      </c>
      <c r="M8" s="54"/>
    </row>
    <row r="9" customHeight="1" spans="1:13">
      <c r="A9" s="54">
        <v>5</v>
      </c>
      <c r="B9" s="23" t="s">
        <v>36</v>
      </c>
      <c r="C9" s="60" t="str">
        <f t="shared" ref="C9:C42" si="0">IF(MOD(MID(F9,17,1),2)=1,"男","女")</f>
        <v>女</v>
      </c>
      <c r="D9" s="56" t="s">
        <v>17</v>
      </c>
      <c r="E9" s="61" t="s">
        <v>37</v>
      </c>
      <c r="F9" s="24" t="s">
        <v>38</v>
      </c>
      <c r="G9" s="24" t="s">
        <v>39</v>
      </c>
      <c r="H9" s="23" t="s">
        <v>35</v>
      </c>
      <c r="I9" s="56" t="s">
        <v>22</v>
      </c>
      <c r="J9" s="62"/>
      <c r="K9" s="54"/>
      <c r="L9" s="63">
        <v>18673628336</v>
      </c>
      <c r="M9" s="54"/>
    </row>
    <row r="10" customHeight="1" spans="1:13">
      <c r="A10" s="54">
        <v>6</v>
      </c>
      <c r="B10" s="23" t="s">
        <v>40</v>
      </c>
      <c r="C10" s="60" t="str">
        <f t="shared" si="0"/>
        <v>女</v>
      </c>
      <c r="D10" s="56" t="s">
        <v>17</v>
      </c>
      <c r="E10" s="61" t="s">
        <v>41</v>
      </c>
      <c r="F10" s="24" t="s">
        <v>42</v>
      </c>
      <c r="G10" s="24" t="s">
        <v>43</v>
      </c>
      <c r="H10" s="23" t="s">
        <v>44</v>
      </c>
      <c r="I10" s="56" t="s">
        <v>22</v>
      </c>
      <c r="J10" s="62"/>
      <c r="K10" s="54"/>
      <c r="L10" s="63">
        <v>19389855242</v>
      </c>
      <c r="M10" s="54"/>
    </row>
    <row r="11" customHeight="1" spans="1:13">
      <c r="A11" s="54">
        <v>7</v>
      </c>
      <c r="B11" s="23" t="s">
        <v>45</v>
      </c>
      <c r="C11" s="60" t="str">
        <f t="shared" si="0"/>
        <v>男</v>
      </c>
      <c r="D11" s="56" t="s">
        <v>17</v>
      </c>
      <c r="E11" s="61" t="s">
        <v>46</v>
      </c>
      <c r="F11" s="24" t="s">
        <v>47</v>
      </c>
      <c r="G11" s="24" t="s">
        <v>48</v>
      </c>
      <c r="H11" s="23" t="s">
        <v>49</v>
      </c>
      <c r="I11" s="56" t="s">
        <v>22</v>
      </c>
      <c r="J11" s="62"/>
      <c r="K11" s="54"/>
      <c r="L11" s="63">
        <v>17336594682</v>
      </c>
      <c r="M11" s="54"/>
    </row>
    <row r="12" customHeight="1" spans="1:13">
      <c r="A12" s="54">
        <v>8</v>
      </c>
      <c r="B12" s="23" t="s">
        <v>50</v>
      </c>
      <c r="C12" s="60" t="str">
        <f t="shared" si="0"/>
        <v>男</v>
      </c>
      <c r="D12" s="56" t="s">
        <v>51</v>
      </c>
      <c r="E12" s="61" t="s">
        <v>52</v>
      </c>
      <c r="F12" s="24" t="s">
        <v>53</v>
      </c>
      <c r="G12" s="24" t="s">
        <v>54</v>
      </c>
      <c r="H12" s="23" t="s">
        <v>55</v>
      </c>
      <c r="I12" s="56" t="s">
        <v>22</v>
      </c>
      <c r="J12" s="62"/>
      <c r="K12" s="54"/>
      <c r="L12" s="63">
        <v>17763637948</v>
      </c>
      <c r="M12" s="54"/>
    </row>
    <row r="13" customHeight="1" spans="1:13">
      <c r="A13" s="54">
        <v>9</v>
      </c>
      <c r="B13" s="23" t="s">
        <v>56</v>
      </c>
      <c r="C13" s="60" t="str">
        <f t="shared" si="0"/>
        <v>男</v>
      </c>
      <c r="D13" s="56" t="s">
        <v>17</v>
      </c>
      <c r="E13" s="61" t="s">
        <v>32</v>
      </c>
      <c r="F13" s="24" t="s">
        <v>57</v>
      </c>
      <c r="G13" s="24" t="s">
        <v>58</v>
      </c>
      <c r="H13" s="23" t="s">
        <v>21</v>
      </c>
      <c r="I13" s="56" t="s">
        <v>22</v>
      </c>
      <c r="J13" s="62"/>
      <c r="K13" s="54"/>
      <c r="L13" s="63">
        <v>18789378078</v>
      </c>
      <c r="M13" s="54"/>
    </row>
    <row r="14" customHeight="1" spans="1:13">
      <c r="A14" s="54">
        <v>10</v>
      </c>
      <c r="B14" s="23" t="s">
        <v>59</v>
      </c>
      <c r="C14" s="60" t="str">
        <f t="shared" si="0"/>
        <v>男</v>
      </c>
      <c r="D14" s="56" t="s">
        <v>17</v>
      </c>
      <c r="E14" s="61" t="s">
        <v>32</v>
      </c>
      <c r="F14" s="24" t="s">
        <v>60</v>
      </c>
      <c r="G14" s="24" t="s">
        <v>61</v>
      </c>
      <c r="H14" s="23" t="s">
        <v>62</v>
      </c>
      <c r="I14" s="56" t="s">
        <v>22</v>
      </c>
      <c r="J14" s="62"/>
      <c r="K14" s="54"/>
      <c r="L14" s="63">
        <v>18173687131</v>
      </c>
      <c r="M14" s="54"/>
    </row>
    <row r="15" customHeight="1" spans="1:13">
      <c r="A15" s="54">
        <v>11</v>
      </c>
      <c r="B15" s="23" t="s">
        <v>63</v>
      </c>
      <c r="C15" s="60" t="str">
        <f t="shared" si="0"/>
        <v>女</v>
      </c>
      <c r="D15" s="56" t="s">
        <v>17</v>
      </c>
      <c r="E15" s="61" t="s">
        <v>32</v>
      </c>
      <c r="F15" s="24" t="s">
        <v>64</v>
      </c>
      <c r="G15" s="24" t="s">
        <v>65</v>
      </c>
      <c r="H15" s="23" t="s">
        <v>66</v>
      </c>
      <c r="I15" s="56" t="s">
        <v>22</v>
      </c>
      <c r="J15" s="62"/>
      <c r="K15" s="54"/>
      <c r="L15" s="63">
        <v>18390651916</v>
      </c>
      <c r="M15" s="54"/>
    </row>
    <row r="16" customHeight="1" spans="1:13">
      <c r="A16" s="54">
        <v>12</v>
      </c>
      <c r="B16" s="23" t="s">
        <v>67</v>
      </c>
      <c r="C16" s="60" t="str">
        <f t="shared" si="0"/>
        <v>男</v>
      </c>
      <c r="D16" s="56" t="s">
        <v>17</v>
      </c>
      <c r="E16" s="61" t="s">
        <v>46</v>
      </c>
      <c r="F16" s="24" t="s">
        <v>68</v>
      </c>
      <c r="G16" s="24" t="s">
        <v>69</v>
      </c>
      <c r="H16" s="23" t="s">
        <v>66</v>
      </c>
      <c r="I16" s="56" t="s">
        <v>22</v>
      </c>
      <c r="J16" s="62"/>
      <c r="K16" s="54"/>
      <c r="L16" s="63">
        <v>13637687985</v>
      </c>
      <c r="M16" s="54"/>
    </row>
    <row r="17" customHeight="1" spans="1:13">
      <c r="A17" s="54">
        <v>13</v>
      </c>
      <c r="B17" s="23" t="s">
        <v>70</v>
      </c>
      <c r="C17" s="60" t="str">
        <f t="shared" si="0"/>
        <v>男</v>
      </c>
      <c r="D17" s="56" t="s">
        <v>17</v>
      </c>
      <c r="E17" s="61" t="s">
        <v>71</v>
      </c>
      <c r="F17" s="24" t="s">
        <v>72</v>
      </c>
      <c r="G17" s="24" t="s">
        <v>73</v>
      </c>
      <c r="H17" s="23" t="s">
        <v>74</v>
      </c>
      <c r="I17" s="56" t="s">
        <v>22</v>
      </c>
      <c r="J17" s="62"/>
      <c r="K17" s="54"/>
      <c r="L17" s="63">
        <v>13647515398</v>
      </c>
      <c r="M17" s="54"/>
    </row>
    <row r="18" customHeight="1" spans="1:13">
      <c r="A18" s="54">
        <v>14</v>
      </c>
      <c r="B18" s="23" t="s">
        <v>75</v>
      </c>
      <c r="C18" s="60" t="str">
        <f t="shared" si="0"/>
        <v>女</v>
      </c>
      <c r="D18" s="56" t="s">
        <v>17</v>
      </c>
      <c r="E18" s="61" t="s">
        <v>71</v>
      </c>
      <c r="F18" s="24" t="s">
        <v>76</v>
      </c>
      <c r="G18" s="24" t="s">
        <v>77</v>
      </c>
      <c r="H18" s="23" t="s">
        <v>78</v>
      </c>
      <c r="I18" s="56" t="s">
        <v>22</v>
      </c>
      <c r="J18" s="62"/>
      <c r="K18" s="54"/>
      <c r="L18" s="63">
        <v>13647151935</v>
      </c>
      <c r="M18" s="54"/>
    </row>
    <row r="19" customHeight="1" spans="1:13">
      <c r="A19" s="54">
        <v>15</v>
      </c>
      <c r="B19" s="23" t="s">
        <v>79</v>
      </c>
      <c r="C19" s="60" t="str">
        <f t="shared" si="0"/>
        <v>男</v>
      </c>
      <c r="D19" s="56" t="s">
        <v>17</v>
      </c>
      <c r="E19" s="61" t="s">
        <v>80</v>
      </c>
      <c r="F19" s="24" t="s">
        <v>81</v>
      </c>
      <c r="G19" s="24" t="s">
        <v>82</v>
      </c>
      <c r="H19" s="23" t="s">
        <v>49</v>
      </c>
      <c r="I19" s="56" t="s">
        <v>22</v>
      </c>
      <c r="J19" s="62"/>
      <c r="K19" s="54"/>
      <c r="L19" s="63">
        <v>18789585305</v>
      </c>
      <c r="M19" s="54"/>
    </row>
    <row r="20" customHeight="1" spans="1:13">
      <c r="A20" s="54">
        <v>16</v>
      </c>
      <c r="B20" s="23" t="s">
        <v>83</v>
      </c>
      <c r="C20" s="60" t="str">
        <f t="shared" si="0"/>
        <v>女</v>
      </c>
      <c r="D20" s="56" t="s">
        <v>17</v>
      </c>
      <c r="E20" s="61" t="s">
        <v>80</v>
      </c>
      <c r="F20" s="24" t="s">
        <v>84</v>
      </c>
      <c r="G20" s="24" t="s">
        <v>85</v>
      </c>
      <c r="H20" s="23" t="s">
        <v>86</v>
      </c>
      <c r="I20" s="56" t="s">
        <v>22</v>
      </c>
      <c r="J20" s="62"/>
      <c r="K20" s="54"/>
      <c r="L20" s="63">
        <v>15108958220</v>
      </c>
      <c r="M20" s="54"/>
    </row>
    <row r="21" customHeight="1" spans="1:13">
      <c r="A21" s="54">
        <v>17</v>
      </c>
      <c r="B21" s="23" t="s">
        <v>87</v>
      </c>
      <c r="C21" s="60" t="str">
        <f t="shared" si="0"/>
        <v>男</v>
      </c>
      <c r="D21" s="56" t="s">
        <v>17</v>
      </c>
      <c r="E21" s="61" t="s">
        <v>88</v>
      </c>
      <c r="F21" s="24" t="s">
        <v>89</v>
      </c>
      <c r="G21" s="24" t="s">
        <v>90</v>
      </c>
      <c r="H21" s="23" t="s">
        <v>91</v>
      </c>
      <c r="I21" s="56" t="s">
        <v>22</v>
      </c>
      <c r="J21" s="62"/>
      <c r="K21" s="54"/>
      <c r="L21" s="63">
        <v>15730574691</v>
      </c>
      <c r="M21" s="54"/>
    </row>
    <row r="22" customHeight="1" spans="1:13">
      <c r="A22" s="54">
        <v>18</v>
      </c>
      <c r="B22" s="23" t="s">
        <v>92</v>
      </c>
      <c r="C22" s="60" t="str">
        <f t="shared" si="0"/>
        <v>男</v>
      </c>
      <c r="D22" s="56" t="s">
        <v>17</v>
      </c>
      <c r="E22" s="61" t="s">
        <v>93</v>
      </c>
      <c r="F22" s="24" t="s">
        <v>94</v>
      </c>
      <c r="G22" s="24" t="s">
        <v>95</v>
      </c>
      <c r="H22" s="23" t="s">
        <v>96</v>
      </c>
      <c r="I22" s="56" t="s">
        <v>22</v>
      </c>
      <c r="J22" s="62"/>
      <c r="K22" s="54"/>
      <c r="L22" s="63">
        <v>13574127881</v>
      </c>
      <c r="M22" s="54"/>
    </row>
    <row r="23" customHeight="1" spans="1:13">
      <c r="A23" s="54">
        <v>19</v>
      </c>
      <c r="B23" s="23" t="s">
        <v>97</v>
      </c>
      <c r="C23" s="60" t="str">
        <f t="shared" si="0"/>
        <v>男</v>
      </c>
      <c r="D23" s="56" t="s">
        <v>17</v>
      </c>
      <c r="E23" s="61" t="s">
        <v>32</v>
      </c>
      <c r="F23" s="24" t="s">
        <v>98</v>
      </c>
      <c r="G23" s="24" t="s">
        <v>99</v>
      </c>
      <c r="H23" s="23" t="s">
        <v>66</v>
      </c>
      <c r="I23" s="56" t="s">
        <v>22</v>
      </c>
      <c r="J23" s="62"/>
      <c r="K23" s="54"/>
      <c r="L23" s="63">
        <v>13873690211</v>
      </c>
      <c r="M23" s="54"/>
    </row>
    <row r="24" customHeight="1" spans="1:13">
      <c r="A24" s="54">
        <v>20</v>
      </c>
      <c r="B24" s="23" t="s">
        <v>100</v>
      </c>
      <c r="C24" s="60" t="str">
        <f t="shared" si="0"/>
        <v>女</v>
      </c>
      <c r="D24" s="56" t="s">
        <v>17</v>
      </c>
      <c r="E24" s="61" t="s">
        <v>101</v>
      </c>
      <c r="F24" s="24" t="s">
        <v>102</v>
      </c>
      <c r="G24" s="24" t="s">
        <v>103</v>
      </c>
      <c r="H24" s="23" t="s">
        <v>104</v>
      </c>
      <c r="I24" s="56" t="s">
        <v>22</v>
      </c>
      <c r="J24" s="62"/>
      <c r="K24" s="54"/>
      <c r="L24" s="63">
        <v>17744850109</v>
      </c>
      <c r="M24" s="54"/>
    </row>
    <row r="25" customHeight="1" spans="1:13">
      <c r="A25" s="54">
        <v>21</v>
      </c>
      <c r="B25" s="64" t="s">
        <v>105</v>
      </c>
      <c r="C25" s="60" t="str">
        <f t="shared" si="0"/>
        <v>男</v>
      </c>
      <c r="D25" s="56" t="s">
        <v>17</v>
      </c>
      <c r="E25" s="61" t="s">
        <v>46</v>
      </c>
      <c r="F25" s="69" t="s">
        <v>106</v>
      </c>
      <c r="G25" s="69" t="s">
        <v>107</v>
      </c>
      <c r="H25" s="64" t="s">
        <v>108</v>
      </c>
      <c r="I25" s="54" t="s">
        <v>22</v>
      </c>
      <c r="J25" s="62"/>
      <c r="K25" s="54"/>
      <c r="L25" s="70" t="s">
        <v>109</v>
      </c>
      <c r="M25" s="54"/>
    </row>
    <row r="26" customHeight="1" spans="1:13">
      <c r="A26" s="54">
        <v>22</v>
      </c>
      <c r="B26" s="54" t="s">
        <v>110</v>
      </c>
      <c r="C26" s="60" t="str">
        <f t="shared" si="0"/>
        <v>男</v>
      </c>
      <c r="D26" s="56" t="s">
        <v>17</v>
      </c>
      <c r="E26" s="61" t="s">
        <v>111</v>
      </c>
      <c r="F26" s="66" t="s">
        <v>112</v>
      </c>
      <c r="G26" s="70" t="s">
        <v>113</v>
      </c>
      <c r="H26" s="54" t="s">
        <v>114</v>
      </c>
      <c r="I26" s="54" t="s">
        <v>22</v>
      </c>
      <c r="J26" s="62"/>
      <c r="K26" s="54"/>
      <c r="L26" s="66">
        <v>13229882978</v>
      </c>
      <c r="M26" s="54"/>
    </row>
    <row r="27" customHeight="1" spans="1:13">
      <c r="A27" s="54">
        <v>23</v>
      </c>
      <c r="B27" s="54" t="s">
        <v>115</v>
      </c>
      <c r="C27" s="60" t="str">
        <f t="shared" si="0"/>
        <v>男</v>
      </c>
      <c r="D27" s="56" t="s">
        <v>17</v>
      </c>
      <c r="E27" s="61" t="s">
        <v>32</v>
      </c>
      <c r="F27" s="70" t="s">
        <v>116</v>
      </c>
      <c r="G27" s="70" t="s">
        <v>117</v>
      </c>
      <c r="H27" s="54" t="s">
        <v>91</v>
      </c>
      <c r="I27" s="54" t="s">
        <v>22</v>
      </c>
      <c r="J27" s="54"/>
      <c r="K27" s="54"/>
      <c r="L27" s="66">
        <v>15607605073</v>
      </c>
      <c r="M27" s="54"/>
    </row>
    <row r="28" customHeight="1" spans="1:13">
      <c r="A28" s="54">
        <v>24</v>
      </c>
      <c r="B28" s="54" t="s">
        <v>118</v>
      </c>
      <c r="C28" s="60" t="str">
        <f t="shared" si="0"/>
        <v>女</v>
      </c>
      <c r="D28" s="56" t="s">
        <v>17</v>
      </c>
      <c r="E28" s="61" t="s">
        <v>46</v>
      </c>
      <c r="F28" s="70" t="s">
        <v>119</v>
      </c>
      <c r="G28" s="70" t="s">
        <v>120</v>
      </c>
      <c r="H28" s="54" t="s">
        <v>121</v>
      </c>
      <c r="I28" s="54" t="s">
        <v>22</v>
      </c>
      <c r="J28" s="54"/>
      <c r="K28" s="54"/>
      <c r="L28" s="66">
        <v>15573167675</v>
      </c>
      <c r="M28" s="54"/>
    </row>
    <row r="29" customHeight="1" spans="1:13">
      <c r="A29" s="54">
        <v>25</v>
      </c>
      <c r="B29" s="54" t="s">
        <v>122</v>
      </c>
      <c r="C29" s="60" t="str">
        <f t="shared" si="0"/>
        <v>男</v>
      </c>
      <c r="D29" s="56" t="s">
        <v>17</v>
      </c>
      <c r="E29" s="61" t="s">
        <v>123</v>
      </c>
      <c r="F29" s="70" t="s">
        <v>124</v>
      </c>
      <c r="G29" s="70" t="s">
        <v>125</v>
      </c>
      <c r="H29" s="54" t="s">
        <v>126</v>
      </c>
      <c r="I29" s="54" t="s">
        <v>22</v>
      </c>
      <c r="J29" s="54"/>
      <c r="K29" s="54"/>
      <c r="L29" s="66">
        <v>18182924809</v>
      </c>
      <c r="M29" s="54"/>
    </row>
    <row r="30" customHeight="1" spans="1:13">
      <c r="A30" s="54">
        <v>26</v>
      </c>
      <c r="B30" s="54" t="s">
        <v>127</v>
      </c>
      <c r="C30" s="60" t="str">
        <f t="shared" si="0"/>
        <v>女</v>
      </c>
      <c r="D30" s="56" t="s">
        <v>17</v>
      </c>
      <c r="E30" s="61" t="s">
        <v>123</v>
      </c>
      <c r="F30" s="70" t="s">
        <v>128</v>
      </c>
      <c r="G30" s="70" t="s">
        <v>129</v>
      </c>
      <c r="H30" s="54" t="s">
        <v>130</v>
      </c>
      <c r="I30" s="54" t="s">
        <v>22</v>
      </c>
      <c r="J30" s="54"/>
      <c r="K30" s="54"/>
      <c r="L30" s="66">
        <v>13278784071</v>
      </c>
      <c r="M30" s="54"/>
    </row>
    <row r="31" customHeight="1" spans="1:13">
      <c r="A31" s="54">
        <v>27</v>
      </c>
      <c r="B31" s="54" t="s">
        <v>131</v>
      </c>
      <c r="C31" s="60" t="str">
        <f t="shared" si="0"/>
        <v>男</v>
      </c>
      <c r="D31" s="56" t="s">
        <v>17</v>
      </c>
      <c r="E31" s="61" t="s">
        <v>123</v>
      </c>
      <c r="F31" s="70" t="s">
        <v>132</v>
      </c>
      <c r="G31" s="70" t="s">
        <v>133</v>
      </c>
      <c r="H31" s="54" t="s">
        <v>91</v>
      </c>
      <c r="I31" s="54" t="s">
        <v>22</v>
      </c>
      <c r="J31" s="54"/>
      <c r="K31" s="54"/>
      <c r="L31" s="66">
        <v>15288008213</v>
      </c>
      <c r="M31" s="54"/>
    </row>
    <row r="32" customHeight="1" spans="1:13">
      <c r="A32" s="54">
        <v>28</v>
      </c>
      <c r="B32" s="54" t="s">
        <v>134</v>
      </c>
      <c r="C32" s="60" t="str">
        <f t="shared" si="0"/>
        <v>女</v>
      </c>
      <c r="D32" s="56" t="s">
        <v>17</v>
      </c>
      <c r="E32" s="61" t="s">
        <v>123</v>
      </c>
      <c r="F32" s="70" t="s">
        <v>135</v>
      </c>
      <c r="G32" s="70" t="s">
        <v>136</v>
      </c>
      <c r="H32" s="54" t="s">
        <v>91</v>
      </c>
      <c r="I32" s="54" t="s">
        <v>22</v>
      </c>
      <c r="J32" s="54"/>
      <c r="K32" s="54"/>
      <c r="L32" s="66">
        <v>14787427760</v>
      </c>
      <c r="M32" s="54"/>
    </row>
    <row r="33" customHeight="1" spans="1:13">
      <c r="A33" s="54">
        <v>29</v>
      </c>
      <c r="B33" s="54" t="s">
        <v>137</v>
      </c>
      <c r="C33" s="60" t="str">
        <f t="shared" si="0"/>
        <v>男</v>
      </c>
      <c r="D33" s="56" t="s">
        <v>17</v>
      </c>
      <c r="E33" s="61" t="s">
        <v>138</v>
      </c>
      <c r="F33" s="70" t="s">
        <v>139</v>
      </c>
      <c r="G33" s="70" t="s">
        <v>140</v>
      </c>
      <c r="H33" s="54" t="s">
        <v>141</v>
      </c>
      <c r="I33" s="54" t="s">
        <v>22</v>
      </c>
      <c r="J33" s="54"/>
      <c r="K33" s="54"/>
      <c r="L33" s="66">
        <v>13613906680</v>
      </c>
      <c r="M33" s="54"/>
    </row>
    <row r="34" customHeight="1" spans="1:13">
      <c r="A34" s="54">
        <v>30</v>
      </c>
      <c r="B34" s="54" t="s">
        <v>142</v>
      </c>
      <c r="C34" s="60" t="str">
        <f t="shared" si="0"/>
        <v>女</v>
      </c>
      <c r="D34" s="56" t="s">
        <v>17</v>
      </c>
      <c r="E34" s="61" t="s">
        <v>143</v>
      </c>
      <c r="F34" s="70" t="s">
        <v>144</v>
      </c>
      <c r="G34" s="70" t="s">
        <v>145</v>
      </c>
      <c r="H34" s="54" t="s">
        <v>146</v>
      </c>
      <c r="I34" s="54" t="s">
        <v>22</v>
      </c>
      <c r="J34" s="54"/>
      <c r="K34" s="54"/>
      <c r="L34" s="66">
        <v>13434679286</v>
      </c>
      <c r="M34" s="54"/>
    </row>
    <row r="35" customHeight="1" spans="1:13">
      <c r="A35" s="54">
        <v>31</v>
      </c>
      <c r="B35" s="54" t="s">
        <v>147</v>
      </c>
      <c r="C35" s="60" t="str">
        <f t="shared" si="0"/>
        <v>男</v>
      </c>
      <c r="D35" s="56" t="s">
        <v>17</v>
      </c>
      <c r="E35" s="61" t="s">
        <v>148</v>
      </c>
      <c r="F35" s="70" t="s">
        <v>149</v>
      </c>
      <c r="G35" s="70" t="s">
        <v>150</v>
      </c>
      <c r="H35" s="54" t="s">
        <v>151</v>
      </c>
      <c r="I35" s="54" t="s">
        <v>22</v>
      </c>
      <c r="J35" s="54"/>
      <c r="K35" s="54"/>
      <c r="L35" s="66">
        <v>15760684711</v>
      </c>
      <c r="M35" s="54"/>
    </row>
    <row r="36" customHeight="1" spans="1:13">
      <c r="A36" s="54">
        <v>32</v>
      </c>
      <c r="B36" s="54" t="s">
        <v>152</v>
      </c>
      <c r="C36" s="60" t="str">
        <f t="shared" si="0"/>
        <v>男</v>
      </c>
      <c r="D36" s="56" t="s">
        <v>17</v>
      </c>
      <c r="E36" s="61" t="s">
        <v>148</v>
      </c>
      <c r="F36" s="70" t="s">
        <v>153</v>
      </c>
      <c r="G36" s="70" t="s">
        <v>154</v>
      </c>
      <c r="H36" s="54" t="s">
        <v>155</v>
      </c>
      <c r="I36" s="54" t="s">
        <v>22</v>
      </c>
      <c r="J36" s="54"/>
      <c r="K36" s="54"/>
      <c r="L36" s="66">
        <v>18381843960</v>
      </c>
      <c r="M36" s="54"/>
    </row>
    <row r="37" customHeight="1" spans="1:13">
      <c r="A37" s="54">
        <v>33</v>
      </c>
      <c r="B37" s="54" t="s">
        <v>156</v>
      </c>
      <c r="C37" s="60" t="str">
        <f t="shared" si="0"/>
        <v>男</v>
      </c>
      <c r="D37" s="56" t="s">
        <v>17</v>
      </c>
      <c r="E37" s="61" t="s">
        <v>123</v>
      </c>
      <c r="F37" s="70" t="s">
        <v>157</v>
      </c>
      <c r="G37" s="70" t="s">
        <v>158</v>
      </c>
      <c r="H37" s="54" t="s">
        <v>159</v>
      </c>
      <c r="I37" s="54" t="s">
        <v>22</v>
      </c>
      <c r="J37" s="54"/>
      <c r="K37" s="54"/>
      <c r="L37" s="66">
        <v>15987450830</v>
      </c>
      <c r="M37" s="54"/>
    </row>
    <row r="38" customHeight="1" spans="1:13">
      <c r="A38" s="54">
        <v>34</v>
      </c>
      <c r="B38" s="54" t="s">
        <v>160</v>
      </c>
      <c r="C38" s="60" t="str">
        <f t="shared" si="0"/>
        <v>男</v>
      </c>
      <c r="D38" s="56" t="s">
        <v>17</v>
      </c>
      <c r="E38" s="61" t="s">
        <v>161</v>
      </c>
      <c r="F38" s="70" t="s">
        <v>162</v>
      </c>
      <c r="G38" s="70" t="s">
        <v>163</v>
      </c>
      <c r="H38" s="54" t="s">
        <v>164</v>
      </c>
      <c r="I38" s="54" t="s">
        <v>22</v>
      </c>
      <c r="J38" s="54"/>
      <c r="K38" s="54"/>
      <c r="L38" s="66">
        <v>13322090132</v>
      </c>
      <c r="M38" s="54"/>
    </row>
    <row r="39" customHeight="1" spans="1:13">
      <c r="A39" s="54">
        <v>35</v>
      </c>
      <c r="B39" s="54" t="s">
        <v>165</v>
      </c>
      <c r="C39" s="60" t="str">
        <f t="shared" si="0"/>
        <v>男</v>
      </c>
      <c r="D39" s="56" t="s">
        <v>17</v>
      </c>
      <c r="E39" s="61" t="s">
        <v>166</v>
      </c>
      <c r="F39" s="70" t="s">
        <v>167</v>
      </c>
      <c r="G39" s="70" t="s">
        <v>168</v>
      </c>
      <c r="H39" s="54" t="s">
        <v>169</v>
      </c>
      <c r="I39" s="54" t="s">
        <v>22</v>
      </c>
      <c r="J39" s="54"/>
      <c r="K39" s="54"/>
      <c r="L39" s="66">
        <v>15331535388</v>
      </c>
      <c r="M39" s="54"/>
    </row>
    <row r="40" customHeight="1" spans="1:13">
      <c r="A40" s="54">
        <v>36</v>
      </c>
      <c r="B40" s="54" t="s">
        <v>170</v>
      </c>
      <c r="C40" s="60" t="str">
        <f t="shared" si="0"/>
        <v>女</v>
      </c>
      <c r="D40" s="56" t="s">
        <v>17</v>
      </c>
      <c r="E40" s="61" t="s">
        <v>171</v>
      </c>
      <c r="F40" s="66" t="s">
        <v>172</v>
      </c>
      <c r="G40" s="70" t="s">
        <v>173</v>
      </c>
      <c r="H40" s="54" t="s">
        <v>174</v>
      </c>
      <c r="I40" s="54" t="s">
        <v>22</v>
      </c>
      <c r="J40" s="54"/>
      <c r="K40" s="54"/>
      <c r="L40" s="66">
        <v>15687553065</v>
      </c>
      <c r="M40" s="54"/>
    </row>
    <row r="41" customHeight="1" spans="1:13">
      <c r="A41" s="54">
        <v>37</v>
      </c>
      <c r="B41" s="54" t="s">
        <v>175</v>
      </c>
      <c r="C41" s="60" t="str">
        <f t="shared" si="0"/>
        <v>男</v>
      </c>
      <c r="D41" s="56" t="s">
        <v>17</v>
      </c>
      <c r="E41" s="61" t="s">
        <v>88</v>
      </c>
      <c r="F41" s="70" t="s">
        <v>176</v>
      </c>
      <c r="G41" s="70" t="s">
        <v>177</v>
      </c>
      <c r="H41" s="54" t="s">
        <v>178</v>
      </c>
      <c r="I41" s="54" t="s">
        <v>22</v>
      </c>
      <c r="J41" s="54"/>
      <c r="K41" s="54"/>
      <c r="L41" s="66">
        <v>18523245285</v>
      </c>
      <c r="M41" s="54"/>
    </row>
    <row r="42" customHeight="1" spans="1:13">
      <c r="A42" s="54">
        <v>38</v>
      </c>
      <c r="B42" s="25" t="s">
        <v>179</v>
      </c>
      <c r="C42" s="60" t="str">
        <f t="shared" si="0"/>
        <v>女</v>
      </c>
      <c r="D42" s="56" t="s">
        <v>17</v>
      </c>
      <c r="E42" s="61" t="s">
        <v>32</v>
      </c>
      <c r="F42" s="67" t="s">
        <v>180</v>
      </c>
      <c r="G42" s="67" t="s">
        <v>181</v>
      </c>
      <c r="H42" s="25" t="s">
        <v>182</v>
      </c>
      <c r="I42" s="54" t="s">
        <v>22</v>
      </c>
      <c r="J42" s="54"/>
      <c r="K42" s="54"/>
      <c r="L42" s="66">
        <v>18175608751</v>
      </c>
      <c r="M42" s="54"/>
    </row>
    <row r="43" customHeight="1" spans="1:13">
      <c r="A43" s="54">
        <v>39</v>
      </c>
      <c r="B43" s="25" t="s">
        <v>183</v>
      </c>
      <c r="C43" s="60" t="str">
        <f t="shared" ref="C43:C44" si="1">IF(MOD(MID(F43,17,1),2)=1,"男","女")</f>
        <v>女</v>
      </c>
      <c r="D43" s="56" t="s">
        <v>17</v>
      </c>
      <c r="E43" s="61" t="s">
        <v>184</v>
      </c>
      <c r="F43" s="67" t="s">
        <v>185</v>
      </c>
      <c r="G43" s="67" t="s">
        <v>186</v>
      </c>
      <c r="H43" s="25" t="s">
        <v>187</v>
      </c>
      <c r="I43" s="54" t="s">
        <v>22</v>
      </c>
      <c r="J43" s="54"/>
      <c r="K43" s="54"/>
      <c r="L43" s="66" t="s">
        <v>188</v>
      </c>
      <c r="M43" s="54"/>
    </row>
    <row r="44" customHeight="1" spans="1:13">
      <c r="A44" s="54">
        <v>40</v>
      </c>
      <c r="B44" s="25" t="s">
        <v>189</v>
      </c>
      <c r="C44" s="60" t="str">
        <f t="shared" si="1"/>
        <v>女</v>
      </c>
      <c r="D44" s="56" t="s">
        <v>17</v>
      </c>
      <c r="E44" s="68" t="s">
        <v>190</v>
      </c>
      <c r="F44" s="67" t="s">
        <v>191</v>
      </c>
      <c r="G44" s="67" t="s">
        <v>192</v>
      </c>
      <c r="H44" s="25" t="s">
        <v>91</v>
      </c>
      <c r="I44" s="54" t="s">
        <v>22</v>
      </c>
      <c r="J44" s="54"/>
      <c r="K44" s="54"/>
      <c r="L44" s="66" t="s">
        <v>193</v>
      </c>
      <c r="M44" s="54"/>
    </row>
    <row r="45" customHeight="1" spans="1:13">
      <c r="A45" s="54">
        <v>41</v>
      </c>
      <c r="B45" s="25" t="s">
        <v>194</v>
      </c>
      <c r="C45" s="60" t="str">
        <f t="shared" ref="C45:C51" si="2">IF(MOD(MID(F45,17,1),2)=1,"男","女")</f>
        <v>女</v>
      </c>
      <c r="D45" s="56" t="s">
        <v>17</v>
      </c>
      <c r="E45" s="68" t="s">
        <v>195</v>
      </c>
      <c r="F45" s="67" t="s">
        <v>196</v>
      </c>
      <c r="G45" s="67" t="s">
        <v>197</v>
      </c>
      <c r="H45" s="25" t="s">
        <v>91</v>
      </c>
      <c r="I45" s="54" t="s">
        <v>22</v>
      </c>
      <c r="J45" s="54"/>
      <c r="K45" s="54"/>
      <c r="L45" s="66" t="s">
        <v>198</v>
      </c>
      <c r="M45" s="54"/>
    </row>
    <row r="46" customHeight="1" spans="1:13">
      <c r="A46" s="54">
        <v>42</v>
      </c>
      <c r="B46" s="25" t="s">
        <v>199</v>
      </c>
      <c r="C46" s="60" t="str">
        <f t="shared" si="2"/>
        <v>男</v>
      </c>
      <c r="D46" s="56" t="s">
        <v>17</v>
      </c>
      <c r="E46" s="68" t="s">
        <v>200</v>
      </c>
      <c r="F46" s="67" t="s">
        <v>201</v>
      </c>
      <c r="G46" s="67" t="s">
        <v>202</v>
      </c>
      <c r="H46" s="25" t="s">
        <v>203</v>
      </c>
      <c r="I46" s="54" t="s">
        <v>22</v>
      </c>
      <c r="J46" s="54"/>
      <c r="K46" s="54"/>
      <c r="L46" s="66" t="s">
        <v>204</v>
      </c>
      <c r="M46" s="54"/>
    </row>
    <row r="47" customHeight="1" spans="1:13">
      <c r="A47" s="54">
        <v>43</v>
      </c>
      <c r="B47" s="25" t="s">
        <v>205</v>
      </c>
      <c r="C47" s="60" t="str">
        <f t="shared" si="2"/>
        <v>男</v>
      </c>
      <c r="D47" s="56" t="s">
        <v>17</v>
      </c>
      <c r="E47" s="68" t="s">
        <v>206</v>
      </c>
      <c r="F47" s="67" t="s">
        <v>207</v>
      </c>
      <c r="G47" s="67" t="s">
        <v>208</v>
      </c>
      <c r="H47" s="25" t="s">
        <v>209</v>
      </c>
      <c r="I47" s="54" t="s">
        <v>22</v>
      </c>
      <c r="J47" s="54"/>
      <c r="K47" s="54"/>
      <c r="L47" s="66" t="s">
        <v>210</v>
      </c>
      <c r="M47" s="54"/>
    </row>
    <row r="48" customHeight="1" spans="1:13">
      <c r="A48" s="54">
        <v>44</v>
      </c>
      <c r="B48" s="25" t="s">
        <v>211</v>
      </c>
      <c r="C48" s="60" t="str">
        <f t="shared" si="2"/>
        <v>男</v>
      </c>
      <c r="D48" s="56" t="s">
        <v>17</v>
      </c>
      <c r="E48" s="68" t="s">
        <v>212</v>
      </c>
      <c r="F48" s="67" t="s">
        <v>213</v>
      </c>
      <c r="G48" s="67" t="s">
        <v>214</v>
      </c>
      <c r="H48" s="25" t="s">
        <v>215</v>
      </c>
      <c r="I48" s="54" t="s">
        <v>22</v>
      </c>
      <c r="J48" s="54"/>
      <c r="K48" s="54"/>
      <c r="L48" s="66" t="s">
        <v>216</v>
      </c>
      <c r="M48" s="54"/>
    </row>
    <row r="49" customHeight="1" spans="1:13">
      <c r="A49" s="54">
        <v>45</v>
      </c>
      <c r="B49" s="25" t="s">
        <v>217</v>
      </c>
      <c r="C49" s="60" t="str">
        <f t="shared" si="2"/>
        <v>女</v>
      </c>
      <c r="D49" s="56" t="s">
        <v>17</v>
      </c>
      <c r="E49" s="68" t="s">
        <v>218</v>
      </c>
      <c r="F49" s="67" t="s">
        <v>219</v>
      </c>
      <c r="G49" s="67" t="s">
        <v>220</v>
      </c>
      <c r="H49" s="25" t="s">
        <v>21</v>
      </c>
      <c r="I49" s="54" t="s">
        <v>22</v>
      </c>
      <c r="J49" s="54"/>
      <c r="K49" s="54"/>
      <c r="L49" s="66" t="s">
        <v>221</v>
      </c>
      <c r="M49" s="54"/>
    </row>
    <row r="50" customHeight="1" spans="1:13">
      <c r="A50" s="54">
        <v>46</v>
      </c>
      <c r="B50" s="25" t="s">
        <v>222</v>
      </c>
      <c r="C50" s="60" t="str">
        <f t="shared" si="2"/>
        <v>男</v>
      </c>
      <c r="D50" s="56" t="s">
        <v>17</v>
      </c>
      <c r="E50" s="68" t="s">
        <v>223</v>
      </c>
      <c r="F50" s="67" t="s">
        <v>224</v>
      </c>
      <c r="G50" s="67" t="s">
        <v>225</v>
      </c>
      <c r="H50" s="25" t="s">
        <v>226</v>
      </c>
      <c r="I50" s="54" t="s">
        <v>22</v>
      </c>
      <c r="J50" s="54"/>
      <c r="K50" s="54"/>
      <c r="L50" s="66" t="s">
        <v>227</v>
      </c>
      <c r="M50" s="54"/>
    </row>
    <row r="51" customHeight="1" spans="1:13">
      <c r="A51" s="54">
        <v>47</v>
      </c>
      <c r="B51" s="25" t="s">
        <v>228</v>
      </c>
      <c r="C51" s="60" t="str">
        <f t="shared" si="2"/>
        <v>男</v>
      </c>
      <c r="D51" s="56" t="s">
        <v>17</v>
      </c>
      <c r="E51" s="68" t="s">
        <v>229</v>
      </c>
      <c r="F51" s="67" t="s">
        <v>230</v>
      </c>
      <c r="G51" s="67" t="s">
        <v>231</v>
      </c>
      <c r="H51" s="25" t="s">
        <v>62</v>
      </c>
      <c r="I51" s="54" t="s">
        <v>22</v>
      </c>
      <c r="J51" s="54"/>
      <c r="K51" s="54"/>
      <c r="L51" s="66" t="s">
        <v>232</v>
      </c>
      <c r="M51" s="54"/>
    </row>
  </sheetData>
  <mergeCells count="2">
    <mergeCell ref="A3:E3"/>
    <mergeCell ref="A1:M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7"/>
  <sheetViews>
    <sheetView tabSelected="1" topLeftCell="A34" workbookViewId="0">
      <selection activeCell="O50" sqref="O50"/>
    </sheetView>
  </sheetViews>
  <sheetFormatPr defaultColWidth="9" defaultRowHeight="13.5"/>
  <cols>
    <col min="1" max="1" width="6.875" style="13" customWidth="1"/>
    <col min="2" max="2" width="10.375" style="13" customWidth="1"/>
    <col min="3" max="3" width="21.875" style="14" customWidth="1"/>
    <col min="4" max="4" width="23" style="14" customWidth="1"/>
    <col min="5" max="5" width="29.5" style="13" customWidth="1"/>
    <col min="6" max="6" width="12" style="13" customWidth="1"/>
    <col min="7" max="7" width="9.625" style="13" customWidth="1"/>
    <col min="8" max="8" width="8.75" style="13" customWidth="1"/>
    <col min="9" max="9" width="9.25" style="13" customWidth="1"/>
    <col min="10" max="10" width="9.625" style="13" customWidth="1"/>
    <col min="11" max="11" width="10.25" style="13" customWidth="1"/>
    <col min="12" max="12" width="10.625" style="13" customWidth="1"/>
    <col min="13" max="16384" width="9" style="13"/>
  </cols>
  <sheetData>
    <row r="1" ht="32.1" customHeight="1" spans="1:15">
      <c r="A1" s="15" t="s">
        <v>233</v>
      </c>
      <c r="B1" s="15"/>
      <c r="C1" s="15"/>
      <c r="D1" s="15"/>
      <c r="E1" s="15"/>
      <c r="F1" s="15"/>
      <c r="G1" s="16"/>
      <c r="H1" s="15"/>
      <c r="I1" s="15"/>
      <c r="J1" s="15"/>
      <c r="K1" s="15"/>
      <c r="L1" s="15"/>
    </row>
    <row r="2" ht="27.95" customHeight="1" spans="1:15">
      <c r="A2" s="17" t="s">
        <v>234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39" customHeight="1" spans="1:15">
      <c r="A3" s="18" t="s">
        <v>2</v>
      </c>
      <c r="B3" s="18" t="s">
        <v>3</v>
      </c>
      <c r="C3" s="19" t="s">
        <v>235</v>
      </c>
      <c r="D3" s="19" t="s">
        <v>236</v>
      </c>
      <c r="E3" s="18" t="s">
        <v>237</v>
      </c>
      <c r="F3" s="20" t="s">
        <v>238</v>
      </c>
      <c r="G3" s="21" t="s">
        <v>239</v>
      </c>
      <c r="H3" s="21" t="s">
        <v>240</v>
      </c>
      <c r="I3" s="21" t="s">
        <v>241</v>
      </c>
      <c r="J3" s="22" t="s">
        <v>242</v>
      </c>
      <c r="K3" s="21" t="s">
        <v>243</v>
      </c>
      <c r="L3" s="18" t="s">
        <v>14</v>
      </c>
    </row>
    <row r="4" ht="24.95" customHeight="1" spans="1:15">
      <c r="A4" s="9">
        <v>1</v>
      </c>
      <c r="B4" s="23" t="str">
        <f>花名册!B5</f>
        <v>陈罗宏</v>
      </c>
      <c r="C4" s="24" t="str">
        <f>花名册!F5</f>
        <v>430623197201192213</v>
      </c>
      <c r="D4" s="24" t="str">
        <f>花名册!G5</f>
        <v>6236683520010069982</v>
      </c>
      <c r="E4" s="23" t="str">
        <f>花名册!H5</f>
        <v>三亚建设支行</v>
      </c>
      <c r="F4" s="25"/>
      <c r="G4" s="9"/>
      <c r="H4" s="9"/>
      <c r="I4" s="9"/>
      <c r="J4" s="9">
        <v>4000</v>
      </c>
      <c r="K4" s="9"/>
      <c r="L4" s="9"/>
    </row>
    <row r="5" ht="24.95" customHeight="1" spans="1:15">
      <c r="A5" s="9">
        <v>2</v>
      </c>
      <c r="B5" s="23" t="str">
        <f>花名册!B6</f>
        <v>邓金香</v>
      </c>
      <c r="C5" s="24" t="str">
        <f>花名册!F6</f>
        <v>422423197312231528</v>
      </c>
      <c r="D5" s="24" t="str">
        <f>花名册!G6</f>
        <v>6217003520008554279</v>
      </c>
      <c r="E5" s="23" t="str">
        <f>花名册!H6</f>
        <v>三亚建没支行</v>
      </c>
      <c r="F5" s="25"/>
      <c r="G5" s="9"/>
      <c r="H5" s="9"/>
      <c r="I5" s="9"/>
      <c r="J5" s="9">
        <v>3000</v>
      </c>
      <c r="K5" s="9"/>
      <c r="L5" s="25"/>
    </row>
    <row r="6" ht="24.95" customHeight="1" spans="1:15">
      <c r="A6" s="9">
        <v>3</v>
      </c>
      <c r="B6" s="26" t="str">
        <f>花名册!B7</f>
        <v>陈国红</v>
      </c>
      <c r="C6" s="27" t="str">
        <f>花名册!F7</f>
        <v>430623196810132211</v>
      </c>
      <c r="D6" s="28" t="str">
        <f>花名册!G7</f>
        <v>6217003520017024231</v>
      </c>
      <c r="E6" s="29" t="str">
        <f>花名册!H7</f>
        <v>三亚建设支行</v>
      </c>
      <c r="F6" s="30"/>
      <c r="G6" s="30"/>
      <c r="H6" s="30"/>
      <c r="I6" s="30"/>
      <c r="J6" s="9">
        <v>4000</v>
      </c>
      <c r="K6" s="30"/>
      <c r="L6" s="30"/>
      <c r="O6" s="13" t="s">
        <v>244</v>
      </c>
    </row>
    <row r="7" ht="24.95" customHeight="1" spans="1:15">
      <c r="A7" s="9">
        <v>4</v>
      </c>
      <c r="B7" s="23" t="str">
        <f>花名册!B8</f>
        <v>李治安</v>
      </c>
      <c r="C7" s="24" t="str">
        <f>花名册!F8</f>
        <v>430723198309292814</v>
      </c>
      <c r="D7" s="24" t="str">
        <f>花名册!G8</f>
        <v>6217003520007698432</v>
      </c>
      <c r="E7" s="23" t="str">
        <f>花名册!H8</f>
        <v>海南三亚迎宾支行</v>
      </c>
      <c r="F7" s="25"/>
      <c r="G7" s="9"/>
      <c r="H7" s="9"/>
      <c r="I7" s="9"/>
      <c r="J7" s="9">
        <v>4000</v>
      </c>
      <c r="K7" s="9"/>
      <c r="L7" s="9"/>
    </row>
    <row r="8" ht="24.95" customHeight="1" spans="1:15">
      <c r="A8" s="9">
        <v>5</v>
      </c>
      <c r="B8" s="23" t="str">
        <f>花名册!B9</f>
        <v>胡艳</v>
      </c>
      <c r="C8" s="24" t="str">
        <f>花名册!F9</f>
        <v>43072419880818542X</v>
      </c>
      <c r="D8" s="24" t="str">
        <f>花名册!G9</f>
        <v>6217003520007698424</v>
      </c>
      <c r="E8" s="23" t="str">
        <f>花名册!H9</f>
        <v>海南三亚迎宾支行</v>
      </c>
      <c r="F8" s="25"/>
      <c r="G8" s="9"/>
      <c r="H8" s="9"/>
      <c r="I8" s="9"/>
      <c r="J8" s="9">
        <v>4000</v>
      </c>
      <c r="K8" s="9"/>
      <c r="L8" s="9"/>
    </row>
    <row r="9" ht="24.95" customHeight="1" spans="1:15">
      <c r="A9" s="9">
        <v>6</v>
      </c>
      <c r="B9" s="23" t="str">
        <f>花名册!B10</f>
        <v>阳梦姣</v>
      </c>
      <c r="C9" s="24" t="str">
        <f>花名册!F10</f>
        <v>43312419920815582X</v>
      </c>
      <c r="D9" s="24" t="str">
        <f>花名册!G10</f>
        <v>6236683000004290621</v>
      </c>
      <c r="E9" s="23" t="str">
        <f>花名册!H10</f>
        <v>湖南澧县建设支行</v>
      </c>
      <c r="F9" s="25"/>
      <c r="G9" s="9"/>
      <c r="H9" s="9"/>
      <c r="I9" s="9"/>
      <c r="J9" s="9">
        <v>4000</v>
      </c>
      <c r="K9" s="9"/>
      <c r="L9" s="9"/>
    </row>
    <row r="10" ht="24.95" customHeight="1" spans="1:15">
      <c r="A10" s="9">
        <v>7</v>
      </c>
      <c r="B10" s="23" t="str">
        <f>花名册!B11</f>
        <v>张孝庆</v>
      </c>
      <c r="C10" s="24" t="str">
        <f>花名册!F11</f>
        <v>432427197411043538</v>
      </c>
      <c r="D10" s="24" t="str">
        <f>花名册!G11</f>
        <v>6217003520012305239</v>
      </c>
      <c r="E10" s="23" t="str">
        <f>花名册!H11</f>
        <v>三亚河西支行</v>
      </c>
      <c r="F10" s="25"/>
      <c r="G10" s="9"/>
      <c r="H10" s="9"/>
      <c r="I10" s="9"/>
      <c r="J10" s="9">
        <v>4000</v>
      </c>
      <c r="K10" s="9"/>
      <c r="L10" s="9"/>
    </row>
    <row r="11" ht="24.95" customHeight="1" spans="1:15">
      <c r="A11" s="9">
        <v>8</v>
      </c>
      <c r="B11" s="23" t="str">
        <f>花名册!B12</f>
        <v>龚德权</v>
      </c>
      <c r="C11" s="24" t="str">
        <f>花名册!F12</f>
        <v>430726197911133511</v>
      </c>
      <c r="D11" s="24" t="str">
        <f>花名册!G12</f>
        <v>6236683520010371685</v>
      </c>
      <c r="E11" s="23" t="str">
        <f>花名册!H12</f>
        <v>定安支行</v>
      </c>
      <c r="F11" s="25"/>
      <c r="G11" s="9"/>
      <c r="H11" s="9"/>
      <c r="I11" s="9"/>
      <c r="J11" s="9">
        <v>4400</v>
      </c>
      <c r="K11" s="9"/>
      <c r="L11" s="9"/>
    </row>
    <row r="12" ht="24.95" customHeight="1" spans="1:15">
      <c r="A12" s="9">
        <v>9</v>
      </c>
      <c r="B12" s="23" t="str">
        <f>花名册!B13</f>
        <v>曹承文</v>
      </c>
      <c r="C12" s="24" t="str">
        <f>花名册!F13</f>
        <v>430723196810182214</v>
      </c>
      <c r="D12" s="24" t="str">
        <f>花名册!G13</f>
        <v>6236683520006371400</v>
      </c>
      <c r="E12" s="23" t="str">
        <f>花名册!H13</f>
        <v>三亚建设支行</v>
      </c>
      <c r="F12" s="25"/>
      <c r="G12" s="9"/>
      <c r="H12" s="9"/>
      <c r="I12" s="9"/>
      <c r="J12" s="9">
        <v>4000</v>
      </c>
      <c r="K12" s="9"/>
      <c r="L12" s="31"/>
    </row>
    <row r="13" ht="24.95" customHeight="1" spans="1:15">
      <c r="A13" s="9">
        <v>10</v>
      </c>
      <c r="B13" s="23" t="str">
        <f>花名册!B14</f>
        <v>曹阳</v>
      </c>
      <c r="C13" s="24" t="str">
        <f>花名册!F14</f>
        <v>430723199010272215</v>
      </c>
      <c r="D13" s="24" t="str">
        <f>花名册!G14</f>
        <v>6215340303001126239</v>
      </c>
      <c r="E13" s="23" t="str">
        <f>花名册!H14</f>
        <v>五指山建设支行</v>
      </c>
      <c r="F13" s="25"/>
      <c r="G13" s="9"/>
      <c r="H13" s="9"/>
      <c r="I13" s="9"/>
      <c r="J13" s="9">
        <v>4000</v>
      </c>
      <c r="K13" s="9"/>
      <c r="L13" s="9"/>
    </row>
    <row r="14" ht="24.95" customHeight="1" spans="1:15">
      <c r="A14" s="9">
        <v>11</v>
      </c>
      <c r="B14" s="23" t="str">
        <f>花名册!B15</f>
        <v>陈克兰</v>
      </c>
      <c r="C14" s="24" t="str">
        <f>花名册!F15</f>
        <v>430723196912085044</v>
      </c>
      <c r="D14" s="24" t="str">
        <f>花名册!G15</f>
        <v>6236683000002012316</v>
      </c>
      <c r="E14" s="23" t="str">
        <f>花名册!H15</f>
        <v>澧县建设支行</v>
      </c>
      <c r="F14" s="25"/>
      <c r="G14" s="9"/>
      <c r="H14" s="9"/>
      <c r="I14" s="9"/>
      <c r="J14" s="9">
        <v>4000</v>
      </c>
      <c r="K14" s="9"/>
      <c r="L14" s="25"/>
    </row>
    <row r="15" ht="24.95" customHeight="1" spans="1:15">
      <c r="A15" s="9">
        <v>12</v>
      </c>
      <c r="B15" s="23" t="str">
        <f>花名册!B16</f>
        <v>黄道文</v>
      </c>
      <c r="C15" s="24" t="str">
        <f>花名册!F16</f>
        <v>432424196810235015</v>
      </c>
      <c r="D15" s="24" t="str">
        <f>花名册!G16</f>
        <v>6215340303714770687</v>
      </c>
      <c r="E15" s="23" t="str">
        <f>花名册!H16</f>
        <v>澧县建设支行</v>
      </c>
      <c r="F15" s="25"/>
      <c r="G15" s="9"/>
      <c r="H15" s="9"/>
      <c r="I15" s="9"/>
      <c r="J15" s="9">
        <v>4000</v>
      </c>
      <c r="K15" s="9"/>
      <c r="L15" s="25"/>
    </row>
    <row r="16" ht="24.95" customHeight="1" spans="1:15">
      <c r="A16" s="9">
        <v>13</v>
      </c>
      <c r="B16" s="23" t="str">
        <f>花名册!B17</f>
        <v>雷义元</v>
      </c>
      <c r="C16" s="24" t="str">
        <f>花名册!F17</f>
        <v>422423197103216014</v>
      </c>
      <c r="D16" s="24" t="str">
        <f>花名册!G17</f>
        <v>6217003520014539751</v>
      </c>
      <c r="E16" s="23" t="str">
        <f>花名册!H17</f>
        <v>海口丽晶支行</v>
      </c>
      <c r="F16" s="25"/>
      <c r="G16" s="9"/>
      <c r="H16" s="9"/>
      <c r="I16" s="9"/>
      <c r="J16" s="9">
        <v>7000</v>
      </c>
      <c r="K16" s="9"/>
      <c r="L16" s="25"/>
    </row>
    <row r="17" ht="24.95" customHeight="1" spans="1:36">
      <c r="A17" s="9">
        <v>14</v>
      </c>
      <c r="B17" s="23" t="str">
        <f>花名册!B18</f>
        <v>杨松艳</v>
      </c>
      <c r="C17" s="24" t="str">
        <f>花名册!F18</f>
        <v>422423197207286025</v>
      </c>
      <c r="D17" s="24" t="str">
        <f>花名册!G18</f>
        <v>6217003520008219071</v>
      </c>
      <c r="E17" s="23" t="str">
        <f>花名册!H18</f>
        <v>洋浦支行</v>
      </c>
      <c r="F17" s="25"/>
      <c r="G17" s="9"/>
      <c r="H17" s="9"/>
      <c r="I17" s="9"/>
      <c r="J17" s="9">
        <v>7000</v>
      </c>
      <c r="K17" s="9"/>
      <c r="L17" s="25"/>
    </row>
    <row r="18" ht="24.95" customHeight="1" spans="1:36">
      <c r="A18" s="9">
        <v>15</v>
      </c>
      <c r="B18" s="23" t="str">
        <f>花名册!B19</f>
        <v>杨荣友</v>
      </c>
      <c r="C18" s="24" t="str">
        <f>花名册!F19</f>
        <v>42102219690221365X</v>
      </c>
      <c r="D18" s="24" t="str">
        <f>花名册!G19</f>
        <v>6217003520004643027</v>
      </c>
      <c r="E18" s="23" t="str">
        <f>花名册!H19</f>
        <v>三亚河西支行</v>
      </c>
      <c r="F18" s="25"/>
      <c r="G18" s="9"/>
      <c r="H18" s="9"/>
      <c r="I18" s="9"/>
      <c r="J18" s="9">
        <v>7000</v>
      </c>
      <c r="K18" s="9"/>
      <c r="L18" s="25"/>
    </row>
    <row r="19" ht="24.95" customHeight="1" spans="1:36">
      <c r="A19" s="9">
        <v>16</v>
      </c>
      <c r="B19" s="23" t="str">
        <f>花名册!B20</f>
        <v>谢玉莲</v>
      </c>
      <c r="C19" s="24" t="str">
        <f>花名册!F20</f>
        <v>42102219701011364X</v>
      </c>
      <c r="D19" s="24" t="str">
        <f>花名册!G20</f>
        <v>6236683520005555110</v>
      </c>
      <c r="E19" s="23" t="str">
        <f>花名册!H20</f>
        <v>三亚月川支行</v>
      </c>
      <c r="F19" s="25"/>
      <c r="G19" s="9"/>
      <c r="H19" s="9"/>
      <c r="I19" s="9"/>
      <c r="J19" s="9">
        <v>7000</v>
      </c>
      <c r="K19" s="9"/>
      <c r="L19" s="25"/>
    </row>
    <row r="20" ht="24.95" customHeight="1" spans="1:36">
      <c r="A20" s="9">
        <v>17</v>
      </c>
      <c r="B20" s="23" t="str">
        <f>花名册!B21</f>
        <v>梁吉春</v>
      </c>
      <c r="C20" s="24" t="str">
        <f>花名册!F21</f>
        <v>512227196808039099</v>
      </c>
      <c r="D20" s="24" t="str">
        <f>花名册!G21</f>
        <v>6217003520024871509</v>
      </c>
      <c r="E20" s="23" t="str">
        <f>花名册!H21</f>
        <v>陵水支行</v>
      </c>
      <c r="F20" s="25"/>
      <c r="G20" s="9"/>
      <c r="H20" s="9"/>
      <c r="I20" s="9"/>
      <c r="J20" s="9">
        <v>2200</v>
      </c>
      <c r="K20" s="9"/>
      <c r="L20" s="25"/>
    </row>
    <row r="21" ht="24.95" customHeight="1" spans="1:36">
      <c r="A21" s="9">
        <v>18</v>
      </c>
      <c r="B21" s="23" t="str">
        <f>花名册!B22</f>
        <v>甘亮达</v>
      </c>
      <c r="C21" s="24" t="str">
        <f>花名册!F22</f>
        <v>430681197709283259</v>
      </c>
      <c r="D21" s="24" t="str">
        <f>花名册!G22</f>
        <v>6236683520008567567</v>
      </c>
      <c r="E21" s="23" t="str">
        <f>花名册!H22</f>
        <v>中国建设银行东方支行</v>
      </c>
      <c r="F21" s="25"/>
      <c r="G21" s="9"/>
      <c r="H21" s="9"/>
      <c r="I21" s="9"/>
      <c r="J21" s="9">
        <v>8000</v>
      </c>
      <c r="K21" s="9"/>
      <c r="L21" s="25"/>
    </row>
    <row r="22" ht="24.95" customHeight="1" spans="1:36">
      <c r="A22" s="9">
        <v>19</v>
      </c>
      <c r="B22" s="23" t="str">
        <f>花名册!B23</f>
        <v>熊伟</v>
      </c>
      <c r="C22" s="24" t="str">
        <f>花名册!F23</f>
        <v>430723199008092215</v>
      </c>
      <c r="D22" s="24" t="str">
        <f>花名册!G23</f>
        <v>6215340303728756862</v>
      </c>
      <c r="E22" s="23" t="str">
        <f>花名册!H23</f>
        <v>澧县建设支行</v>
      </c>
      <c r="F22" s="25"/>
      <c r="G22" s="9"/>
      <c r="H22" s="9"/>
      <c r="I22" s="9"/>
      <c r="J22" s="9">
        <v>4000</v>
      </c>
      <c r="K22" s="9"/>
      <c r="L22" s="25"/>
    </row>
    <row r="23" ht="24.95" customHeight="1" spans="1:36">
      <c r="A23" s="9">
        <v>20</v>
      </c>
      <c r="B23" s="23" t="str">
        <f>花名册!B24</f>
        <v>罗妹香</v>
      </c>
      <c r="C23" s="24" t="str">
        <f>花名册!F24</f>
        <v>46003419860807504X</v>
      </c>
      <c r="D23" s="24" t="str">
        <f>花名册!G24</f>
        <v>6236683520005046359</v>
      </c>
      <c r="E23" s="23" t="str">
        <f>花名册!H24</f>
        <v>建设陵水支行</v>
      </c>
      <c r="F23" s="25"/>
      <c r="G23" s="9"/>
      <c r="H23" s="9"/>
      <c r="I23" s="9"/>
      <c r="J23" s="9">
        <v>2000</v>
      </c>
      <c r="K23" s="9"/>
      <c r="L23" s="25"/>
    </row>
    <row r="24" ht="24.95" customHeight="1" spans="1:36">
      <c r="A24" s="9">
        <v>21</v>
      </c>
      <c r="B24" s="23" t="str">
        <f>花名册!B25</f>
        <v>曾元清</v>
      </c>
      <c r="C24" s="71" t="str">
        <f>花名册!F25</f>
        <v>432424197210242232</v>
      </c>
      <c r="D24" s="71" t="str">
        <f>花名册!G25</f>
        <v>6230943520000131221</v>
      </c>
      <c r="E24" s="23" t="str">
        <f>花名册!H25</f>
        <v>陵水县清水湾支行</v>
      </c>
      <c r="F24" s="25"/>
      <c r="G24" s="9"/>
      <c r="H24" s="9"/>
      <c r="I24" s="9"/>
      <c r="J24" s="9">
        <v>4000</v>
      </c>
      <c r="K24" s="9"/>
      <c r="L24" s="25"/>
    </row>
    <row r="25" ht="24.95" customHeight="1" spans="1:36">
      <c r="A25" s="9">
        <v>22</v>
      </c>
      <c r="B25" s="23" t="str">
        <f>花名册!B26</f>
        <v>向兵</v>
      </c>
      <c r="C25" s="24" t="str">
        <f>花名册!F26</f>
        <v>52222519861025041X</v>
      </c>
      <c r="D25" s="71" t="str">
        <f>花名册!G26</f>
        <v>6236687180000839054</v>
      </c>
      <c r="E25" s="23" t="str">
        <f>花名册!H26</f>
        <v>铜仁市南长城支行</v>
      </c>
      <c r="F25" s="25"/>
      <c r="G25" s="9"/>
      <c r="H25" s="9"/>
      <c r="I25" s="9"/>
      <c r="J25" s="9">
        <v>10000</v>
      </c>
      <c r="K25" s="9"/>
      <c r="L25" s="9"/>
    </row>
    <row r="26" ht="24.95" customHeight="1" spans="1:36">
      <c r="A26" s="9">
        <v>23</v>
      </c>
      <c r="B26" s="23" t="str">
        <f>花名册!B27</f>
        <v>曾辉</v>
      </c>
      <c r="C26" s="71" t="str">
        <f>花名册!F27</f>
        <v>430723200702170012</v>
      </c>
      <c r="D26" s="71" t="str">
        <f>花名册!G27</f>
        <v>6217003520024505156</v>
      </c>
      <c r="E26" s="23" t="str">
        <f>花名册!H27</f>
        <v>陵水支行</v>
      </c>
      <c r="F26" s="18"/>
      <c r="G26" s="18"/>
      <c r="H26" s="18"/>
      <c r="I26" s="18"/>
      <c r="J26" s="9">
        <v>4000</v>
      </c>
      <c r="K26" s="9"/>
      <c r="L26" s="9"/>
      <c r="AF26" s="32"/>
      <c r="AJ26" s="33"/>
    </row>
    <row r="27" ht="24.95" customHeight="1" spans="1:36">
      <c r="A27" s="9">
        <v>24</v>
      </c>
      <c r="B27" s="23" t="str">
        <f>花名册!B28</f>
        <v>熊延支</v>
      </c>
      <c r="C27" s="71" t="str">
        <f>花名册!F28</f>
        <v>432424197107092221</v>
      </c>
      <c r="D27" s="71" t="str">
        <f>花名册!G28</f>
        <v>6230943520000131213</v>
      </c>
      <c r="E27" s="23" t="str">
        <f>花名册!H28</f>
        <v>清水湾支行</v>
      </c>
      <c r="F27" s="9"/>
      <c r="G27" s="9"/>
      <c r="H27" s="9"/>
      <c r="I27" s="9"/>
      <c r="J27" s="9">
        <v>4000</v>
      </c>
      <c r="K27" s="9"/>
      <c r="L27" s="9"/>
    </row>
    <row r="28" ht="24.95" customHeight="1" spans="1:36">
      <c r="A28" s="9">
        <v>25</v>
      </c>
      <c r="B28" s="23" t="str">
        <f>花名册!B29</f>
        <v>王希文</v>
      </c>
      <c r="C28" s="71" t="str">
        <f>花名册!F29</f>
        <v>530324197908221915</v>
      </c>
      <c r="D28" s="71" t="str">
        <f>花名册!G29</f>
        <v>6217001820047561752</v>
      </c>
      <c r="E28" s="23" t="str">
        <f>花名册!H29</f>
        <v>长乐市漳港支行</v>
      </c>
      <c r="F28" s="9"/>
      <c r="G28" s="9"/>
      <c r="H28" s="9"/>
      <c r="I28" s="9"/>
      <c r="J28" s="9">
        <v>2000</v>
      </c>
      <c r="K28" s="9"/>
      <c r="L28" s="9"/>
    </row>
    <row r="29" ht="24.95" customHeight="1" spans="1:36">
      <c r="A29" s="9">
        <v>26</v>
      </c>
      <c r="B29" s="23" t="str">
        <f>花名册!B30</f>
        <v>黄汝桃</v>
      </c>
      <c r="C29" s="71" t="str">
        <f>花名册!F30</f>
        <v>530324197602141728</v>
      </c>
      <c r="D29" s="71" t="str">
        <f>花名册!G30</f>
        <v>6217001830049502860</v>
      </c>
      <c r="E29" s="23" t="str">
        <f>花名册!H30</f>
        <v>泉州市石狮支行</v>
      </c>
      <c r="F29" s="9"/>
      <c r="G29" s="9"/>
      <c r="H29" s="9"/>
      <c r="I29" s="9"/>
      <c r="J29" s="9">
        <v>1500</v>
      </c>
      <c r="K29" s="9"/>
      <c r="L29" s="25"/>
    </row>
    <row r="30" ht="24.95" customHeight="1" spans="1:36">
      <c r="A30" s="9">
        <v>27</v>
      </c>
      <c r="B30" s="23" t="str">
        <f>花名册!B31</f>
        <v>黄乔昌</v>
      </c>
      <c r="C30" s="71" t="str">
        <f>花名册!F31</f>
        <v>530324198007241710</v>
      </c>
      <c r="D30" s="71" t="str">
        <f>花名册!G31</f>
        <v>6217003520024506337</v>
      </c>
      <c r="E30" s="23" t="str">
        <f>花名册!H31</f>
        <v>陵水支行</v>
      </c>
      <c r="F30" s="25"/>
      <c r="G30" s="25"/>
      <c r="H30" s="25"/>
      <c r="I30" s="25"/>
      <c r="J30" s="9">
        <v>4000</v>
      </c>
      <c r="K30" s="25"/>
      <c r="L30" s="25"/>
    </row>
    <row r="31" ht="24.95" customHeight="1" spans="1:36">
      <c r="A31" s="9">
        <v>28</v>
      </c>
      <c r="B31" s="23" t="str">
        <f>花名册!B32</f>
        <v>刘巧芬</v>
      </c>
      <c r="C31" s="71" t="str">
        <f>花名册!F32</f>
        <v>530324198505061747</v>
      </c>
      <c r="D31" s="71" t="str">
        <f>花名册!G32</f>
        <v>6217003520024505628</v>
      </c>
      <c r="E31" s="23" t="str">
        <f>花名册!H32</f>
        <v>陵水支行</v>
      </c>
      <c r="F31" s="25"/>
      <c r="G31" s="25"/>
      <c r="H31" s="25"/>
      <c r="I31" s="25"/>
      <c r="J31" s="9">
        <v>4000</v>
      </c>
      <c r="K31" s="25"/>
      <c r="L31" s="25"/>
    </row>
    <row r="32" ht="24.95" customHeight="1" spans="1:36">
      <c r="A32" s="9">
        <v>29</v>
      </c>
      <c r="B32" s="23" t="str">
        <f>花名册!B33</f>
        <v>陈云山</v>
      </c>
      <c r="C32" s="71" t="str">
        <f>花名册!F33</f>
        <v>410721198404053575</v>
      </c>
      <c r="D32" s="71" t="str">
        <f>花名册!G33</f>
        <v>6217003520011446711</v>
      </c>
      <c r="E32" s="23" t="str">
        <f>花名册!H33</f>
        <v>临城镇建设支行</v>
      </c>
      <c r="F32" s="25"/>
      <c r="G32" s="25"/>
      <c r="H32" s="25"/>
      <c r="I32" s="25"/>
      <c r="J32" s="9">
        <v>4000</v>
      </c>
      <c r="K32" s="25"/>
      <c r="L32" s="25"/>
    </row>
    <row r="33" ht="24.95" customHeight="1" spans="1:12">
      <c r="A33" s="9">
        <v>30</v>
      </c>
      <c r="B33" s="23" t="str">
        <f>花名册!B34</f>
        <v>陈升英</v>
      </c>
      <c r="C33" s="71" t="str">
        <f>花名册!F34</f>
        <v>440822197803052724</v>
      </c>
      <c r="D33" s="71" t="str">
        <f>花名册!G34</f>
        <v>6217003520024869552</v>
      </c>
      <c r="E33" s="23" t="str">
        <f>花名册!H34</f>
        <v>陵水建设支行</v>
      </c>
      <c r="F33" s="25"/>
      <c r="G33" s="25"/>
      <c r="H33" s="25"/>
      <c r="I33" s="25"/>
      <c r="J33" s="9">
        <v>4000</v>
      </c>
      <c r="K33" s="25"/>
      <c r="L33" s="25"/>
    </row>
    <row r="34" ht="24.95" customHeight="1" spans="1:12">
      <c r="A34" s="9">
        <v>31</v>
      </c>
      <c r="B34" s="23" t="str">
        <f>花名册!B35</f>
        <v>张武平</v>
      </c>
      <c r="C34" s="71" t="str">
        <f>花名册!F35</f>
        <v>513022196609073719</v>
      </c>
      <c r="D34" s="71" t="str">
        <f>花名册!G35</f>
        <v>6217002120018527885</v>
      </c>
      <c r="E34" s="23" t="str">
        <f>花名册!H35</f>
        <v>赣州振兴支行</v>
      </c>
      <c r="F34" s="25"/>
      <c r="G34" s="25"/>
      <c r="H34" s="25"/>
      <c r="I34" s="25"/>
      <c r="J34" s="9">
        <v>4000</v>
      </c>
      <c r="K34" s="25"/>
      <c r="L34" s="25"/>
    </row>
    <row r="35" ht="24.95" customHeight="1" spans="1:12">
      <c r="A35" s="9">
        <v>32</v>
      </c>
      <c r="B35" s="23" t="str">
        <f>花名册!B36</f>
        <v>杨国春</v>
      </c>
      <c r="C35" s="71" t="str">
        <f>花名册!F36</f>
        <v>513022199505142971</v>
      </c>
      <c r="D35" s="71" t="str">
        <f>花名册!G36</f>
        <v>6217003690008319567</v>
      </c>
      <c r="E35" s="23" t="str">
        <f>花名册!H36</f>
        <v>达州市南外支行</v>
      </c>
      <c r="F35" s="25"/>
      <c r="G35" s="25"/>
      <c r="H35" s="25"/>
      <c r="I35" s="25"/>
      <c r="J35" s="9">
        <v>0</v>
      </c>
      <c r="K35" s="25"/>
      <c r="L35" s="25"/>
    </row>
    <row r="36" ht="24.95" customHeight="1" spans="1:12">
      <c r="A36" s="9">
        <v>33</v>
      </c>
      <c r="B36" s="23" t="str">
        <f>花名册!B37</f>
        <v>李奎</v>
      </c>
      <c r="C36" s="71" t="str">
        <f>花名册!F37</f>
        <v>530324199110231953</v>
      </c>
      <c r="D36" s="71" t="str">
        <f>花名册!G37</f>
        <v>6217003890012665126</v>
      </c>
      <c r="E36" s="23" t="str">
        <f>花名册!H37</f>
        <v>曲靖市支行</v>
      </c>
      <c r="F36" s="25"/>
      <c r="G36" s="25"/>
      <c r="H36" s="25"/>
      <c r="I36" s="25"/>
      <c r="J36" s="9">
        <v>0</v>
      </c>
      <c r="K36" s="25"/>
      <c r="L36" s="25"/>
    </row>
    <row r="37" ht="24.95" customHeight="1" spans="1:12">
      <c r="A37" s="9">
        <v>34</v>
      </c>
      <c r="B37" s="23" t="str">
        <f>花名册!B38</f>
        <v>符桥</v>
      </c>
      <c r="C37" s="71" t="str">
        <f>花名册!F38</f>
        <v>513021198010058574</v>
      </c>
      <c r="D37" s="71" t="str">
        <f>花名册!G38</f>
        <v>6217003520010533931</v>
      </c>
      <c r="E37" s="23" t="str">
        <f>花名册!H38</f>
        <v>儋州建设支行</v>
      </c>
      <c r="F37" s="25"/>
      <c r="G37" s="25"/>
      <c r="H37" s="25"/>
      <c r="I37" s="25"/>
      <c r="J37" s="9">
        <v>4000</v>
      </c>
      <c r="K37" s="25"/>
      <c r="L37" s="25"/>
    </row>
    <row r="38" ht="24.95" customHeight="1" spans="1:12">
      <c r="A38" s="9">
        <v>35</v>
      </c>
      <c r="B38" s="23" t="str">
        <f>花名册!B39</f>
        <v>胡建中</v>
      </c>
      <c r="C38" s="71" t="str">
        <f>花名册!F39</f>
        <v>533022199207222010</v>
      </c>
      <c r="D38" s="71" t="str">
        <f>花名册!G39</f>
        <v>6217003960005686163</v>
      </c>
      <c r="E38" s="23" t="str">
        <f>花名册!H39</f>
        <v>昌宁建设支行</v>
      </c>
      <c r="F38" s="25"/>
      <c r="G38" s="25"/>
      <c r="H38" s="25"/>
      <c r="I38" s="25"/>
      <c r="J38" s="9">
        <v>4000</v>
      </c>
      <c r="K38" s="25"/>
      <c r="L38" s="25"/>
    </row>
    <row r="39" ht="24.95" customHeight="1" spans="1:12">
      <c r="A39" s="9">
        <v>36</v>
      </c>
      <c r="B39" s="23" t="str">
        <f>花名册!B40</f>
        <v>段从怀</v>
      </c>
      <c r="C39" s="24" t="str">
        <f>花名册!F40</f>
        <v>53300120011201276X</v>
      </c>
      <c r="D39" s="71" t="str">
        <f>花名册!G40</f>
        <v>6236683520010239338</v>
      </c>
      <c r="E39" s="23" t="str">
        <f>花名册!H40</f>
        <v>三亚凤凰支行</v>
      </c>
      <c r="F39" s="25"/>
      <c r="G39" s="25"/>
      <c r="H39" s="25"/>
      <c r="I39" s="25"/>
      <c r="J39" s="9">
        <v>4000</v>
      </c>
      <c r="K39" s="25"/>
      <c r="L39" s="25"/>
    </row>
    <row r="40" ht="24.95" customHeight="1" spans="1:12">
      <c r="A40" s="9">
        <v>37</v>
      </c>
      <c r="B40" s="29" t="str">
        <f>花名册!B41</f>
        <v>蒋忠强</v>
      </c>
      <c r="C40" s="71" t="str">
        <f>花名册!F41</f>
        <v>500237198703148959</v>
      </c>
      <c r="D40" s="71" t="str">
        <f>花名册!G41</f>
        <v>6217003760179342761</v>
      </c>
      <c r="E40" s="23" t="str">
        <f>花名册!H41</f>
        <v>重庆渝兆支行</v>
      </c>
      <c r="F40" s="25"/>
      <c r="G40" s="25"/>
      <c r="H40" s="25"/>
      <c r="I40" s="25"/>
      <c r="J40" s="9">
        <v>1700</v>
      </c>
      <c r="K40" s="25"/>
      <c r="L40" s="25"/>
    </row>
    <row r="41" ht="24.95" customHeight="1" spans="1:12">
      <c r="A41" s="9">
        <v>38</v>
      </c>
      <c r="B41" s="26" t="str">
        <f>花名册!B42</f>
        <v>赵丹</v>
      </c>
      <c r="C41" s="34" t="str">
        <f>花名册!F42</f>
        <v>430723199006102221</v>
      </c>
      <c r="D41" s="24" t="str">
        <f>花名册!G42</f>
        <v>6217003520023580325</v>
      </c>
      <c r="E41" s="23" t="str">
        <f>花名册!H42</f>
        <v>三亚荔枝沟支行</v>
      </c>
      <c r="F41" s="25"/>
      <c r="G41" s="25"/>
      <c r="H41" s="25"/>
      <c r="I41" s="25"/>
      <c r="J41" s="9">
        <v>4000</v>
      </c>
      <c r="K41" s="25"/>
      <c r="L41" s="25"/>
    </row>
    <row r="42" ht="24.95" customHeight="1" spans="1:12">
      <c r="A42" s="35">
        <v>39</v>
      </c>
      <c r="B42" s="23" t="str">
        <f>花名册!B43</f>
        <v>孙桂芳</v>
      </c>
      <c r="C42" s="34" t="str">
        <f>花名册!F43</f>
        <v>513022199308153006</v>
      </c>
      <c r="D42" s="24" t="str">
        <f>花名册!G43</f>
        <v>6236683520009198255</v>
      </c>
      <c r="E42" s="23" t="str">
        <f>花名册!H43</f>
        <v>海南省乐东黎族自治县乐东之行</v>
      </c>
      <c r="F42" s="25"/>
      <c r="G42" s="25"/>
      <c r="H42" s="25"/>
      <c r="I42" s="25"/>
      <c r="J42" s="9">
        <v>4000</v>
      </c>
      <c r="K42" s="25"/>
      <c r="L42" s="25"/>
    </row>
    <row r="43" ht="24.95" customHeight="1" spans="1:12">
      <c r="A43" s="35">
        <v>40</v>
      </c>
      <c r="B43" s="23" t="str">
        <f>花名册!B44</f>
        <v>李灿</v>
      </c>
      <c r="C43" s="34" t="str">
        <f>花名册!F44</f>
        <v>421022200012090626</v>
      </c>
      <c r="D43" s="24" t="str">
        <f>花名册!G44</f>
        <v>6236683520010906977</v>
      </c>
      <c r="E43" s="23" t="str">
        <f>花名册!H44</f>
        <v>陵水支行</v>
      </c>
      <c r="F43" s="25"/>
      <c r="G43" s="25"/>
      <c r="H43" s="25"/>
      <c r="I43" s="25"/>
      <c r="J43" s="9">
        <v>6000</v>
      </c>
      <c r="K43" s="25"/>
      <c r="L43" s="25"/>
    </row>
    <row r="44" ht="24.95" customHeight="1" spans="1:12">
      <c r="A44" s="35">
        <v>41</v>
      </c>
      <c r="B44" s="23" t="str">
        <f>花名册!B45</f>
        <v>许三香</v>
      </c>
      <c r="C44" s="34" t="str">
        <f>花名册!F45</f>
        <v>421022197511201605</v>
      </c>
      <c r="D44" s="24" t="str">
        <f>花名册!G45</f>
        <v>6236683520010907165</v>
      </c>
      <c r="E44" s="23" t="str">
        <f>花名册!H45</f>
        <v>陵水支行</v>
      </c>
      <c r="F44" s="25"/>
      <c r="G44" s="25"/>
      <c r="H44" s="25"/>
      <c r="I44" s="25"/>
      <c r="J44" s="9">
        <v>8000</v>
      </c>
      <c r="K44" s="25"/>
      <c r="L44" s="25"/>
    </row>
    <row r="45" ht="24.95" customHeight="1" spans="1:12">
      <c r="A45" s="35">
        <v>42</v>
      </c>
      <c r="B45" s="23" t="str">
        <f>花名册!B46</f>
        <v>谢志朋</v>
      </c>
      <c r="C45" s="34" t="str">
        <f>花名册!F46</f>
        <v>432321197401232139</v>
      </c>
      <c r="D45" s="24" t="str">
        <f>花名册!G46</f>
        <v>6217002920138111936</v>
      </c>
      <c r="E45" s="23" t="str">
        <f>花名册!H46</f>
        <v>益阳桃花仑建设支行</v>
      </c>
      <c r="F45" s="25"/>
      <c r="G45" s="25"/>
      <c r="H45" s="25"/>
      <c r="I45" s="25"/>
      <c r="J45" s="9">
        <v>6000</v>
      </c>
      <c r="K45" s="25"/>
      <c r="L45" s="25"/>
    </row>
    <row r="46" ht="24.95" customHeight="1" spans="1:12">
      <c r="A46" s="35">
        <v>43</v>
      </c>
      <c r="B46" s="23" t="str">
        <f>花名册!B47</f>
        <v>蔡良其</v>
      </c>
      <c r="C46" s="34" t="str">
        <f>花名册!F47</f>
        <v>430721197208114616</v>
      </c>
      <c r="D46" s="24" t="str">
        <f>花名册!G47</f>
        <v>6215340303723694555</v>
      </c>
      <c r="E46" s="23" t="str">
        <f>花名册!H47</f>
        <v>安乡建设支行</v>
      </c>
      <c r="F46" s="25"/>
      <c r="G46" s="25"/>
      <c r="H46" s="25"/>
      <c r="I46" s="25"/>
      <c r="J46" s="9">
        <v>6000</v>
      </c>
      <c r="K46" s="25"/>
      <c r="L46" s="25"/>
    </row>
    <row r="47" ht="24.95" customHeight="1" spans="1:12">
      <c r="A47" s="35">
        <v>44</v>
      </c>
      <c r="B47" s="23" t="str">
        <f>花名册!B48</f>
        <v>王国洪</v>
      </c>
      <c r="C47" s="34" t="str">
        <f>花名册!F48</f>
        <v>421023197008044151</v>
      </c>
      <c r="D47" s="24" t="str">
        <f>花名册!G48</f>
        <v>6217003520023617952</v>
      </c>
      <c r="E47" s="23" t="str">
        <f>花名册!H48</f>
        <v>万宁建设支行</v>
      </c>
      <c r="F47" s="25"/>
      <c r="G47" s="25"/>
      <c r="H47" s="25"/>
      <c r="I47" s="25"/>
      <c r="J47" s="9">
        <v>6000</v>
      </c>
      <c r="K47" s="25"/>
      <c r="L47" s="25"/>
    </row>
    <row r="48" ht="24.95" customHeight="1" spans="1:12">
      <c r="A48" s="35">
        <v>45</v>
      </c>
      <c r="B48" s="23" t="str">
        <f>花名册!B49</f>
        <v>胡家波</v>
      </c>
      <c r="C48" s="34" t="str">
        <f>花名册!F49</f>
        <v>420902198010135942</v>
      </c>
      <c r="D48" s="24" t="str">
        <f>花名册!G49</f>
        <v>6236683520007006864</v>
      </c>
      <c r="E48" s="23" t="str">
        <f>花名册!H49</f>
        <v>三亚建设支行</v>
      </c>
      <c r="F48" s="25"/>
      <c r="G48" s="25"/>
      <c r="H48" s="25"/>
      <c r="I48" s="25"/>
      <c r="J48" s="9">
        <v>6000</v>
      </c>
      <c r="K48" s="25"/>
      <c r="L48" s="25"/>
    </row>
    <row r="49" ht="24.95" customHeight="1" spans="1:12">
      <c r="A49" s="35">
        <v>46</v>
      </c>
      <c r="B49" s="23" t="str">
        <f>花名册!B50</f>
        <v>黄小冬</v>
      </c>
      <c r="C49" s="34" t="str">
        <f>花名册!F50</f>
        <v>432424196810111813</v>
      </c>
      <c r="D49" s="24" t="str">
        <f>花名册!G50</f>
        <v>6215340303000160692</v>
      </c>
      <c r="E49" s="23" t="str">
        <f>花名册!H50</f>
        <v>拿大建设支行</v>
      </c>
      <c r="F49" s="25"/>
      <c r="G49" s="25"/>
      <c r="H49" s="25"/>
      <c r="I49" s="25"/>
      <c r="J49" s="9">
        <v>3000</v>
      </c>
      <c r="K49" s="25"/>
      <c r="L49" s="25"/>
    </row>
    <row r="50" ht="24.95" customHeight="1" spans="1:12">
      <c r="A50" s="35">
        <v>47</v>
      </c>
      <c r="B50" s="23" t="str">
        <f>花名册!B51</f>
        <v>谭勇</v>
      </c>
      <c r="C50" s="34" t="str">
        <f>花名册!F51</f>
        <v>430723198608010071</v>
      </c>
      <c r="D50" s="24" t="str">
        <f>花名册!G51</f>
        <v>6217003520024351569</v>
      </c>
      <c r="E50" s="23" t="str">
        <f>花名册!H51</f>
        <v>五指山建设支行</v>
      </c>
      <c r="F50" s="25"/>
      <c r="G50" s="25"/>
      <c r="H50" s="25"/>
      <c r="I50" s="25"/>
      <c r="J50" s="9">
        <v>3000</v>
      </c>
      <c r="K50" s="25"/>
      <c r="L50" s="25"/>
    </row>
    <row r="51" ht="24.95" customHeight="1" spans="1:12">
      <c r="A51" s="36" t="s">
        <v>245</v>
      </c>
      <c r="B51" s="37"/>
      <c r="C51" s="37"/>
      <c r="D51" s="37"/>
      <c r="E51" s="37"/>
      <c r="F51" s="37"/>
      <c r="G51" s="37"/>
      <c r="H51" s="37"/>
      <c r="I51" s="38"/>
      <c r="J51" s="39">
        <f>SUBTOTAL(9,J4:J50)</f>
        <v>202800</v>
      </c>
      <c r="K51" s="40"/>
      <c r="L51" s="41"/>
    </row>
    <row r="52" ht="24.95" customHeight="1"/>
    <row r="53" ht="24.95" customHeight="1"/>
    <row r="54" ht="24.95" customHeight="1"/>
    <row r="55" ht="24.95" customHeight="1"/>
    <row r="56" ht="24.95" customHeight="1"/>
    <row r="57" ht="24.95" customHeight="1"/>
    <row r="58" ht="24.95" customHeight="1"/>
    <row r="59" ht="24.95" customHeight="1"/>
    <row r="60" ht="24.95" customHeight="1"/>
    <row r="61" ht="24.95" customHeight="1"/>
    <row r="62" ht="24.95" customHeight="1"/>
    <row r="63" ht="24.95" customHeight="1"/>
    <row r="64" ht="24.95" customHeight="1"/>
    <row r="65" ht="24.95" customHeight="1"/>
    <row r="66" ht="24.95" customHeight="1"/>
    <row r="67" ht="24.95" customHeight="1"/>
  </sheetData>
  <mergeCells count="4">
    <mergeCell ref="A1:L1"/>
    <mergeCell ref="A2:L2"/>
    <mergeCell ref="A51:I51"/>
    <mergeCell ref="J51:L51"/>
  </mergeCells>
  <printOptions horizontalCentered="1"/>
  <pageMargins left="0.314583333333333" right="0.236111111111111" top="0.786805555555556" bottom="0.393055555555556" header="0.298611111111111" footer="0.298611111111111"/>
  <pageSetup paperSize="9" scale="7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"/>
  <sheetViews>
    <sheetView topLeftCell="A9" workbookViewId="0">
      <selection activeCell="H18" sqref="H18"/>
    </sheetView>
  </sheetViews>
  <sheetFormatPr defaultColWidth="9.625" defaultRowHeight="24" customHeight="1"/>
  <cols>
    <col min="1" max="1" width="6.75" style="1" customWidth="1"/>
    <col min="2" max="2" width="9" style="1"/>
    <col min="3" max="3" width="21.75" style="1" customWidth="1"/>
    <col min="4" max="4" width="5.25" style="1" customWidth="1"/>
    <col min="5" max="7" width="4.5" style="1" customWidth="1"/>
    <col min="8" max="8" width="4.75" style="1" customWidth="1"/>
    <col min="9" max="34" width="4.5" style="1" customWidth="1"/>
    <col min="35" max="35" width="9" style="1"/>
    <col min="36" max="36" width="12.625" style="1"/>
    <col min="37" max="16382" width="9" style="1"/>
    <col min="16383" max="16384" width="9.625" style="1"/>
  </cols>
  <sheetData>
    <row r="1" customHeight="1" spans="1:34">
      <c r="A1" s="2" t="s">
        <v>246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customHeight="1" spans="1:3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4">
        <v>45900</v>
      </c>
      <c r="M2" s="4"/>
      <c r="N2" s="4"/>
      <c r="O2" s="4"/>
      <c r="P2" s="4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7"/>
      <c r="AE2" s="7"/>
      <c r="AF2" s="7"/>
      <c r="AG2" s="7"/>
      <c r="AH2" s="7"/>
    </row>
    <row r="3" customHeight="1" spans="1:34">
      <c r="A3" s="6" t="s">
        <v>2</v>
      </c>
      <c r="B3" s="6" t="s">
        <v>3</v>
      </c>
      <c r="C3" s="6" t="s">
        <v>235</v>
      </c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>
        <v>10</v>
      </c>
      <c r="N3" s="6">
        <v>11</v>
      </c>
      <c r="O3" s="6">
        <v>12</v>
      </c>
      <c r="P3" s="6">
        <v>13</v>
      </c>
      <c r="Q3" s="6">
        <v>14</v>
      </c>
      <c r="R3" s="6">
        <v>15</v>
      </c>
      <c r="S3" s="6">
        <v>16</v>
      </c>
      <c r="T3" s="6">
        <v>17</v>
      </c>
      <c r="U3" s="6">
        <v>18</v>
      </c>
      <c r="V3" s="6">
        <v>19</v>
      </c>
      <c r="W3" s="6">
        <v>20</v>
      </c>
      <c r="X3" s="6">
        <v>21</v>
      </c>
      <c r="Y3" s="6">
        <v>22</v>
      </c>
      <c r="Z3" s="6">
        <v>23</v>
      </c>
      <c r="AA3" s="6">
        <v>24</v>
      </c>
      <c r="AB3" s="6">
        <v>25</v>
      </c>
      <c r="AC3" s="6">
        <v>26</v>
      </c>
      <c r="AD3" s="6">
        <v>27</v>
      </c>
      <c r="AE3" s="6">
        <v>28</v>
      </c>
      <c r="AF3" s="6">
        <v>29</v>
      </c>
      <c r="AG3" s="6">
        <v>30</v>
      </c>
      <c r="AH3" s="6">
        <v>31</v>
      </c>
    </row>
    <row r="4" customHeight="1" spans="1:34">
      <c r="A4" s="8">
        <v>1</v>
      </c>
      <c r="B4" s="9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2"/>
      <c r="AG4" s="12"/>
      <c r="AH4" s="12"/>
    </row>
    <row r="5" customHeight="1" spans="1:34">
      <c r="A5" s="8">
        <v>2</v>
      </c>
      <c r="B5" s="9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2"/>
      <c r="AG5" s="12"/>
      <c r="AH5" s="12"/>
    </row>
    <row r="6" customHeight="1" spans="1:34">
      <c r="A6" s="8">
        <v>3</v>
      </c>
      <c r="B6" s="9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2"/>
      <c r="AG6" s="12"/>
      <c r="AH6" s="12"/>
    </row>
    <row r="7" customHeight="1" spans="1:34">
      <c r="A7" s="8">
        <v>4</v>
      </c>
      <c r="B7" s="9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  <c r="AG7" s="12"/>
      <c r="AH7" s="12"/>
    </row>
    <row r="8" customHeight="1" spans="1:34">
      <c r="A8" s="8">
        <v>5</v>
      </c>
      <c r="B8" s="9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2"/>
      <c r="AG8" s="12"/>
      <c r="AH8" s="12"/>
    </row>
    <row r="9" customHeight="1" spans="1:34">
      <c r="A9" s="8">
        <v>6</v>
      </c>
      <c r="B9" s="9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2"/>
      <c r="AG9" s="12"/>
      <c r="AH9" s="12"/>
    </row>
    <row r="10" customHeight="1" spans="1:34">
      <c r="A10" s="8">
        <v>7</v>
      </c>
      <c r="B10" s="9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2"/>
      <c r="AG10" s="12"/>
      <c r="AH10" s="12"/>
    </row>
    <row r="11" customHeight="1" spans="1:34">
      <c r="A11" s="8">
        <v>8</v>
      </c>
      <c r="B11" s="9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2"/>
      <c r="AG11" s="12"/>
      <c r="AH11" s="12"/>
    </row>
    <row r="12" customHeight="1" spans="1:34">
      <c r="A12" s="8">
        <v>9</v>
      </c>
      <c r="B12" s="9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2"/>
      <c r="AG12" s="12"/>
      <c r="AH12" s="12"/>
    </row>
    <row r="13" customHeight="1" spans="1:34">
      <c r="A13" s="8">
        <v>10</v>
      </c>
      <c r="B13" s="9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2"/>
      <c r="AG13" s="12"/>
      <c r="AH13" s="12"/>
    </row>
    <row r="14" customHeight="1" spans="1:34">
      <c r="A14" s="8">
        <v>11</v>
      </c>
      <c r="B14" s="9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2"/>
      <c r="AG14" s="12"/>
      <c r="AH14" s="12"/>
    </row>
    <row r="15" customHeight="1" spans="1:34">
      <c r="A15" s="8">
        <v>12</v>
      </c>
      <c r="B15" s="9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2"/>
      <c r="AG15" s="12"/>
      <c r="AH15" s="12"/>
    </row>
    <row r="16" customHeight="1" spans="1:34">
      <c r="A16" s="8">
        <v>13</v>
      </c>
      <c r="B16" s="9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2"/>
      <c r="AG16" s="12"/>
      <c r="AH16" s="12"/>
    </row>
    <row r="17" customHeight="1" spans="1:34">
      <c r="A17" s="8">
        <v>14</v>
      </c>
      <c r="B17" s="9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2"/>
      <c r="AG17" s="12"/>
      <c r="AH17" s="12"/>
    </row>
    <row r="18" customHeight="1" spans="1:34">
      <c r="A18" s="8">
        <v>15</v>
      </c>
      <c r="B18" s="9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2"/>
      <c r="AG18" s="12"/>
      <c r="AH18" s="12"/>
    </row>
    <row r="19" customHeight="1" spans="1:34">
      <c r="A19" s="8">
        <v>16</v>
      </c>
      <c r="B19" s="9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2"/>
      <c r="AG19" s="12"/>
      <c r="AH19" s="12"/>
    </row>
    <row r="20" customHeight="1" spans="1:34">
      <c r="A20" s="8">
        <v>17</v>
      </c>
      <c r="B20" s="9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2"/>
      <c r="AG20" s="12"/>
      <c r="AH20" s="12"/>
    </row>
    <row r="21" customHeight="1" spans="1:34">
      <c r="A21" s="8">
        <v>18</v>
      </c>
      <c r="B21" s="9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2"/>
      <c r="AG21" s="12"/>
      <c r="AH21" s="12"/>
    </row>
    <row r="22" customHeight="1" spans="1:34">
      <c r="A22" s="8">
        <v>19</v>
      </c>
      <c r="B22" s="9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2"/>
      <c r="AG22" s="12"/>
      <c r="AH22" s="12"/>
    </row>
    <row r="23" customHeight="1" spans="1:34">
      <c r="A23" s="8">
        <v>20</v>
      </c>
      <c r="B23" s="9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2"/>
      <c r="AG23" s="12"/>
      <c r="AH23" s="12"/>
    </row>
    <row r="24" customHeight="1" spans="1:34">
      <c r="A24" s="8">
        <v>21</v>
      </c>
      <c r="B24" s="9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2"/>
      <c r="AG24" s="12"/>
      <c r="AH24" s="12"/>
    </row>
  </sheetData>
  <mergeCells count="3">
    <mergeCell ref="A1:AH1"/>
    <mergeCell ref="A2:K2"/>
    <mergeCell ref="L2:P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花名册</vt:lpstr>
      <vt:lpstr>工资表</vt:lpstr>
      <vt:lpstr>考勤表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Chen</cp:lastModifiedBy>
  <dcterms:created xsi:type="dcterms:W3CDTF">2023-05-12T11:15:00Z</dcterms:created>
  <dcterms:modified xsi:type="dcterms:W3CDTF">2026-04-22T12:06:04Z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6EA4CFDC35E84D8BA8DB234492C71280_13</vt:lpwstr>
  </property>
  <property fmtid="{D5CDD505-2E9C-101B-9397-08002B2CF9AE}" pid="4" name="CalculationRule">
    <vt:i4>0</vt:i4>
  </property>
</Properties>
</file>